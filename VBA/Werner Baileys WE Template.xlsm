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5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6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Z:\#Werner Baileys\Despatch Summary\"/>
    </mc:Choice>
  </mc:AlternateContent>
  <xr:revisionPtr revIDLastSave="0" documentId="13_ncr:1_{4626CE4E-3F3F-4007-829E-E3DF0604DBB1}" xr6:coauthVersionLast="36" xr6:coauthVersionMax="45" xr10:uidLastSave="{00000000-0000-0000-0000-000000000000}"/>
  <bookViews>
    <workbookView xWindow="28680" yWindow="-120" windowWidth="29040" windowHeight="15840" activeTab="1" xr2:uid="{00000000-000D-0000-FFFF-FFFF00000000}"/>
  </bookViews>
  <sheets>
    <sheet name="Cover Sheet" sheetId="2" r:id="rId1"/>
    <sheet name="Monday" sheetId="24" r:id="rId2"/>
    <sheet name="Tuesday" sheetId="15" r:id="rId3"/>
    <sheet name="Wednesday" sheetId="26" r:id="rId4"/>
    <sheet name="Thursday" sheetId="27" r:id="rId5"/>
    <sheet name="Friday" sheetId="25" r:id="rId6"/>
    <sheet name="Returns" sheetId="30" r:id="rId7"/>
    <sheet name="Pallets Summary" sheetId="32" r:id="rId8"/>
    <sheet name="Reference List" sheetId="4" r:id="rId9"/>
  </sheets>
  <definedNames>
    <definedName name="_xlnm._FilterDatabase" localSheetId="8" hidden="1">'Reference List'!$B$3:$D$168</definedName>
    <definedName name="_xlnm.Print_Area" localSheetId="0">'Cover Sheet'!$B$2:$D$24</definedName>
    <definedName name="_xlnm.Print_Area" localSheetId="5">Friday!$C$4:$I$40</definedName>
    <definedName name="_xlnm.Print_Area" localSheetId="1">Monday!$C$4:$J$40</definedName>
    <definedName name="_xlnm.Print_Area" localSheetId="6">Returns!$A$4:$H$40</definedName>
    <definedName name="_xlnm.Print_Area" localSheetId="4">Thursday!$C$4:$I$40</definedName>
    <definedName name="_xlnm.Print_Area" localSheetId="2">Tuesday!$C$4:$I$40</definedName>
    <definedName name="_xlnm.Print_Area" localSheetId="3">Wednesday!$C$4:$I$40</definedName>
    <definedName name="TEMP">'Reference List'!$J$4:$J$7</definedName>
    <definedName name="Z_2C64CA2B_4AD1_4AD2_95A6_B7911B902A5D_.wvu.Cols" localSheetId="0" hidden="1">'Cover Sheet'!#REF!,'Cover Sheet'!$F:$G</definedName>
    <definedName name="Z_2C64CA2B_4AD1_4AD2_95A6_B7911B902A5D_.wvu.Rows" localSheetId="0" hidden="1">'Cover Sheet'!#REF!</definedName>
    <definedName name="Z_369A686F_D18F_4ED2_99C4_317DC1AD7F50_.wvu.FilterData" localSheetId="8" hidden="1">'Reference List'!$B$3:$D$3</definedName>
    <definedName name="Z_369A686F_D18F_4ED2_99C4_317DC1AD7F50_.wvu.PrintArea" localSheetId="0" hidden="1">'Cover Sheet'!$A$2:$D$22</definedName>
    <definedName name="Z_369A686F_D18F_4ED2_99C4_317DC1AD7F50_.wvu.Rows" localSheetId="0" hidden="1">'Cover Sheet'!$16:$16</definedName>
    <definedName name="Z_64B2C3F6_D01C_4754_8176_1ECFCC2B7F3E_.wvu.PrintArea" localSheetId="0" hidden="1">'Cover Sheet'!$A$2:$D$22</definedName>
    <definedName name="Z_6CBF310A_A1BE_46B5_918C_2F2608E5F889_.wvu.FilterData" localSheetId="8" hidden="1">'Reference List'!$B$3:$D$168</definedName>
    <definedName name="Z_6CBF310A_A1BE_46B5_918C_2F2608E5F889_.wvu.PrintArea" localSheetId="0" hidden="1">'Cover Sheet'!$A$2:$D$22</definedName>
    <definedName name="Z_6CBF310A_A1BE_46B5_918C_2F2608E5F889_.wvu.Rows" localSheetId="0" hidden="1">'Cover Sheet'!$16:$16</definedName>
    <definedName name="Z_932959AD_57BE_4F19_9A63_1790755BC301_.wvu.FilterData" localSheetId="8" hidden="1">'Reference List'!$B$3:$D$3</definedName>
    <definedName name="Z_932959AD_57BE_4F19_9A63_1790755BC301_.wvu.PrintArea" localSheetId="0" hidden="1">'Cover Sheet'!$A$2:$D$22</definedName>
    <definedName name="Z_932959AD_57BE_4F19_9A63_1790755BC301_.wvu.Rows" localSheetId="0" hidden="1">'Cover Sheet'!$16:$16</definedName>
    <definedName name="Z_EF0ABB43_B993_46C7_99BE_573267E24723_.wvu.FilterData" localSheetId="8" hidden="1">'Reference List'!$B$3:$D$168</definedName>
    <definedName name="Z_EF0ABB43_B993_46C7_99BE_573267E24723_.wvu.PrintArea" localSheetId="0" hidden="1">'Cover Sheet'!$A$2:$D$22</definedName>
    <definedName name="Z_EF0ABB43_B993_46C7_99BE_573267E24723_.wvu.Rows" localSheetId="0" hidden="1">'Cover Sheet'!$16:$16</definedName>
    <definedName name="Z_F0B6E4B6_BBA2_45DF_97F2_815ACC25604B_.wvu.PrintArea" localSheetId="0" hidden="1">'Cover Sheet'!$A$2:$D$22</definedName>
  </definedNames>
  <calcPr calcId="179021"/>
  <customWorkbookViews>
    <customWorkbookView name="Jason Warburton - Personal View" guid="{6CBF310A-A1BE-46B5-918C-2F2608E5F889}" mergeInterval="0" personalView="1" maximized="1" windowWidth="1920" windowHeight="890" activeSheetId="3"/>
    <customWorkbookView name="Beverly Butler - Personal View" guid="{932959AD-57BE-4F19-9A63-1790755BC301}" mergeInterval="0" personalView="1" maximized="1" windowWidth="1276" windowHeight="809" activeSheetId="3"/>
    <customWorkbookView name="Jacqui Browne - Personal View" guid="{369A686F-D18F-4ED2-99C4-317DC1AD7F50}" mergeInterval="0" personalView="1" maximized="1" windowWidth="1276" windowHeight="555" activeSheetId="3"/>
    <customWorkbookView name="Joshua Rye - Personal View" guid="{EF0ABB43-B993-46C7-99BE-573267E24723}" mergeInterval="0" personalView="1" maximized="1" windowWidth="1920" windowHeight="890" activeSheetId="1"/>
  </customWorkbookViews>
  <fileRecoveryPr autoRecover="0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L17" i="15" l="1"/>
  <c r="L17" i="26"/>
  <c r="L17" i="27"/>
  <c r="L17" i="25"/>
  <c r="L17" i="24"/>
  <c r="E106" i="15" l="1"/>
  <c r="E106" i="26"/>
  <c r="E106" i="27"/>
  <c r="E106" i="25"/>
  <c r="E106" i="24"/>
  <c r="H19" i="26" l="1"/>
  <c r="I19" i="26"/>
  <c r="H20" i="26"/>
  <c r="I20" i="26"/>
  <c r="H21" i="26"/>
  <c r="I21" i="26"/>
  <c r="H22" i="26"/>
  <c r="I22" i="26"/>
  <c r="H23" i="26"/>
  <c r="I23" i="26"/>
  <c r="H25" i="26"/>
  <c r="I25" i="26"/>
  <c r="H26" i="26"/>
  <c r="I26" i="26"/>
  <c r="H27" i="26"/>
  <c r="I27" i="26"/>
  <c r="H28" i="26"/>
  <c r="I28" i="26"/>
  <c r="H29" i="26"/>
  <c r="I29" i="26"/>
  <c r="H30" i="26"/>
  <c r="I30" i="26"/>
  <c r="H31" i="26"/>
  <c r="I31" i="26"/>
  <c r="H32" i="26"/>
  <c r="I32" i="26"/>
  <c r="H33" i="26"/>
  <c r="I33" i="26"/>
  <c r="H34" i="26"/>
  <c r="I34" i="26"/>
  <c r="H35" i="26"/>
  <c r="I35" i="26"/>
  <c r="H36" i="26"/>
  <c r="I36" i="26"/>
  <c r="H37" i="26"/>
  <c r="I37" i="26"/>
  <c r="H38" i="26"/>
  <c r="I38" i="26"/>
  <c r="H39" i="26"/>
  <c r="I39" i="26"/>
  <c r="H45" i="26"/>
  <c r="I45" i="26"/>
  <c r="H46" i="26"/>
  <c r="I46" i="26"/>
  <c r="H47" i="26"/>
  <c r="I47" i="26"/>
  <c r="H48" i="26"/>
  <c r="I48" i="26"/>
  <c r="H49" i="26"/>
  <c r="I49" i="26"/>
  <c r="H50" i="26"/>
  <c r="I50" i="26"/>
  <c r="H51" i="26"/>
  <c r="I51" i="26"/>
  <c r="H52" i="26"/>
  <c r="I52" i="26"/>
  <c r="H53" i="26"/>
  <c r="I53" i="26"/>
  <c r="H54" i="26"/>
  <c r="I54" i="26"/>
  <c r="H55" i="26"/>
  <c r="I55" i="26"/>
  <c r="H56" i="26"/>
  <c r="I56" i="26"/>
  <c r="H57" i="26"/>
  <c r="I57" i="26"/>
  <c r="H58" i="26"/>
  <c r="I58" i="26"/>
  <c r="H59" i="26"/>
  <c r="I59" i="26"/>
  <c r="H60" i="26"/>
  <c r="I60" i="26"/>
  <c r="H61" i="26"/>
  <c r="I61" i="26"/>
  <c r="H62" i="26"/>
  <c r="I62" i="26"/>
  <c r="H63" i="26"/>
  <c r="I63" i="26"/>
  <c r="H64" i="26"/>
  <c r="I64" i="26"/>
  <c r="H65" i="26"/>
  <c r="I65" i="26"/>
  <c r="H66" i="26"/>
  <c r="I66" i="26"/>
  <c r="H67" i="26"/>
  <c r="I67" i="26"/>
  <c r="H68" i="26"/>
  <c r="I68" i="26"/>
  <c r="H69" i="26"/>
  <c r="I69" i="26"/>
  <c r="H70" i="26"/>
  <c r="I70" i="26"/>
  <c r="H71" i="26"/>
  <c r="I71" i="26"/>
  <c r="H72" i="26"/>
  <c r="I72" i="26"/>
  <c r="H73" i="26"/>
  <c r="I73" i="26"/>
  <c r="H74" i="26"/>
  <c r="I74" i="26"/>
  <c r="H75" i="26"/>
  <c r="I75" i="26"/>
  <c r="H76" i="26"/>
  <c r="I76" i="26"/>
  <c r="H77" i="26"/>
  <c r="I77" i="26"/>
  <c r="H78" i="26"/>
  <c r="I78" i="26"/>
  <c r="H79" i="26"/>
  <c r="I79" i="26"/>
  <c r="H80" i="26"/>
  <c r="I80" i="26"/>
  <c r="H81" i="26"/>
  <c r="I81" i="26"/>
  <c r="H82" i="26"/>
  <c r="I82" i="26"/>
  <c r="H83" i="26"/>
  <c r="I83" i="26"/>
  <c r="H84" i="26"/>
  <c r="I84" i="26"/>
  <c r="H85" i="26"/>
  <c r="I85" i="26"/>
  <c r="H86" i="26"/>
  <c r="I86" i="26"/>
  <c r="H87" i="26"/>
  <c r="I87" i="26"/>
  <c r="H88" i="26"/>
  <c r="I88" i="26"/>
  <c r="H89" i="26"/>
  <c r="I89" i="26"/>
  <c r="H90" i="26"/>
  <c r="I90" i="26"/>
  <c r="H91" i="26"/>
  <c r="I91" i="26"/>
  <c r="H92" i="26"/>
  <c r="I92" i="26"/>
  <c r="H93" i="26"/>
  <c r="I93" i="26"/>
  <c r="H94" i="26"/>
  <c r="I94" i="26"/>
  <c r="H95" i="26"/>
  <c r="I95" i="26"/>
  <c r="H96" i="26"/>
  <c r="I96" i="26"/>
  <c r="H97" i="26"/>
  <c r="I97" i="26"/>
  <c r="H98" i="26"/>
  <c r="I98" i="26"/>
  <c r="H99" i="26"/>
  <c r="I99" i="26"/>
  <c r="H100" i="26"/>
  <c r="I100" i="26"/>
  <c r="H101" i="26"/>
  <c r="I101" i="26"/>
  <c r="H102" i="26"/>
  <c r="I102" i="26"/>
  <c r="H103" i="26"/>
  <c r="I103" i="26"/>
  <c r="H104" i="26"/>
  <c r="I104" i="26"/>
  <c r="H105" i="26"/>
  <c r="I105" i="26"/>
  <c r="I18" i="26"/>
  <c r="H18" i="26"/>
  <c r="C14" i="2" l="1"/>
  <c r="D19" i="2" l="1"/>
  <c r="D18" i="2"/>
  <c r="B9" i="2"/>
  <c r="H19" i="25" l="1"/>
  <c r="I19" i="25"/>
  <c r="H20" i="25"/>
  <c r="I20" i="25"/>
  <c r="H25" i="25"/>
  <c r="I25" i="25"/>
  <c r="H26" i="25"/>
  <c r="I26" i="25"/>
  <c r="H27" i="25"/>
  <c r="I27" i="25"/>
  <c r="H28" i="25"/>
  <c r="I28" i="25"/>
  <c r="H29" i="25"/>
  <c r="I29" i="25"/>
  <c r="H30" i="25"/>
  <c r="I30" i="25"/>
  <c r="H31" i="25"/>
  <c r="I31" i="25"/>
  <c r="H32" i="25"/>
  <c r="I32" i="25"/>
  <c r="H33" i="25"/>
  <c r="I33" i="25"/>
  <c r="H45" i="25"/>
  <c r="I45" i="25"/>
  <c r="H46" i="25"/>
  <c r="I46" i="25"/>
  <c r="H47" i="25"/>
  <c r="I47" i="25"/>
  <c r="H48" i="25"/>
  <c r="I48" i="25"/>
  <c r="H49" i="25"/>
  <c r="I49" i="25"/>
  <c r="H50" i="25"/>
  <c r="I50" i="25"/>
  <c r="H51" i="25"/>
  <c r="I51" i="25"/>
  <c r="H52" i="25"/>
  <c r="I52" i="25"/>
  <c r="H53" i="25"/>
  <c r="I53" i="25"/>
  <c r="H54" i="25"/>
  <c r="I54" i="25"/>
  <c r="H55" i="25"/>
  <c r="I55" i="25"/>
  <c r="H56" i="25"/>
  <c r="I56" i="25"/>
  <c r="H57" i="25"/>
  <c r="I57" i="25"/>
  <c r="H58" i="25"/>
  <c r="I58" i="25"/>
  <c r="H59" i="25"/>
  <c r="I59" i="25"/>
  <c r="H60" i="25"/>
  <c r="I60" i="25"/>
  <c r="H61" i="25"/>
  <c r="I61" i="25"/>
  <c r="H62" i="25"/>
  <c r="I62" i="25"/>
  <c r="H63" i="25"/>
  <c r="I63" i="25"/>
  <c r="H64" i="25"/>
  <c r="I64" i="25"/>
  <c r="H65" i="25"/>
  <c r="I65" i="25"/>
  <c r="H66" i="25"/>
  <c r="I66" i="25"/>
  <c r="H67" i="25"/>
  <c r="I67" i="25"/>
  <c r="H68" i="25"/>
  <c r="I68" i="25"/>
  <c r="H69" i="25"/>
  <c r="I69" i="25"/>
  <c r="H70" i="25"/>
  <c r="I70" i="25"/>
  <c r="H71" i="25"/>
  <c r="I71" i="25"/>
  <c r="H72" i="25"/>
  <c r="I72" i="25"/>
  <c r="H73" i="25"/>
  <c r="I73" i="25"/>
  <c r="H74" i="25"/>
  <c r="I74" i="25"/>
  <c r="H75" i="25"/>
  <c r="I75" i="25"/>
  <c r="H76" i="25"/>
  <c r="I76" i="25"/>
  <c r="H77" i="25"/>
  <c r="I77" i="25"/>
  <c r="H78" i="25"/>
  <c r="I78" i="25"/>
  <c r="H79" i="25"/>
  <c r="I79" i="25"/>
  <c r="H80" i="25"/>
  <c r="I80" i="25"/>
  <c r="H81" i="25"/>
  <c r="I81" i="25"/>
  <c r="H82" i="25"/>
  <c r="I82" i="25"/>
  <c r="H83" i="25"/>
  <c r="I83" i="25"/>
  <c r="H84" i="25"/>
  <c r="I84" i="25"/>
  <c r="H85" i="25"/>
  <c r="I85" i="25"/>
  <c r="H86" i="25"/>
  <c r="I86" i="25"/>
  <c r="H87" i="25"/>
  <c r="I87" i="25"/>
  <c r="H88" i="25"/>
  <c r="I88" i="25"/>
  <c r="H89" i="25"/>
  <c r="I89" i="25"/>
  <c r="H90" i="25"/>
  <c r="I90" i="25"/>
  <c r="H91" i="25"/>
  <c r="I91" i="25"/>
  <c r="H92" i="25"/>
  <c r="I92" i="25"/>
  <c r="H93" i="25"/>
  <c r="I93" i="25"/>
  <c r="H94" i="25"/>
  <c r="I94" i="25"/>
  <c r="H95" i="25"/>
  <c r="I95" i="25"/>
  <c r="H96" i="25"/>
  <c r="I96" i="25"/>
  <c r="H97" i="25"/>
  <c r="I97" i="25"/>
  <c r="H98" i="25"/>
  <c r="I98" i="25"/>
  <c r="H99" i="25"/>
  <c r="I99" i="25"/>
  <c r="H100" i="25"/>
  <c r="I100" i="25"/>
  <c r="H101" i="25"/>
  <c r="I101" i="25"/>
  <c r="H102" i="25"/>
  <c r="I102" i="25"/>
  <c r="H103" i="25"/>
  <c r="I103" i="25"/>
  <c r="H104" i="25"/>
  <c r="I104" i="25"/>
  <c r="H105" i="25"/>
  <c r="I105" i="25"/>
  <c r="I18" i="25"/>
  <c r="H18" i="25"/>
  <c r="H8" i="25"/>
  <c r="I8" i="25"/>
  <c r="H9" i="25"/>
  <c r="I9" i="25"/>
  <c r="H10" i="25"/>
  <c r="I10" i="25"/>
  <c r="H11" i="25"/>
  <c r="I11" i="25"/>
  <c r="H12" i="25"/>
  <c r="I12" i="25"/>
  <c r="H13" i="25"/>
  <c r="I13" i="25"/>
  <c r="H14" i="25"/>
  <c r="I14" i="25"/>
  <c r="H15" i="25"/>
  <c r="I15" i="25"/>
  <c r="H16" i="25"/>
  <c r="I16" i="25"/>
  <c r="I7" i="25"/>
  <c r="H7" i="25"/>
  <c r="H19" i="27"/>
  <c r="I19" i="27"/>
  <c r="H21" i="27"/>
  <c r="I21" i="27"/>
  <c r="H22" i="27"/>
  <c r="I22" i="27"/>
  <c r="H25" i="27"/>
  <c r="I25" i="27"/>
  <c r="H26" i="27"/>
  <c r="I26" i="27"/>
  <c r="H27" i="27"/>
  <c r="I27" i="27"/>
  <c r="H28" i="27"/>
  <c r="I28" i="27"/>
  <c r="H29" i="27"/>
  <c r="I29" i="27"/>
  <c r="H30" i="27"/>
  <c r="I30" i="27"/>
  <c r="H31" i="27"/>
  <c r="I31" i="27"/>
  <c r="H32" i="27"/>
  <c r="I32" i="27"/>
  <c r="H33" i="27"/>
  <c r="I33" i="27"/>
  <c r="H34" i="27"/>
  <c r="I34" i="27"/>
  <c r="H35" i="27"/>
  <c r="I35" i="27"/>
  <c r="H36" i="27"/>
  <c r="I36" i="27"/>
  <c r="H37" i="27"/>
  <c r="I37" i="27"/>
  <c r="H38" i="27"/>
  <c r="I38" i="27"/>
  <c r="H39" i="27"/>
  <c r="I39" i="27"/>
  <c r="H40" i="27"/>
  <c r="I40" i="27"/>
  <c r="H41" i="27"/>
  <c r="I41" i="27"/>
  <c r="H42" i="27"/>
  <c r="I42" i="27"/>
  <c r="H43" i="27"/>
  <c r="I43" i="27"/>
  <c r="H44" i="27"/>
  <c r="I44" i="27"/>
  <c r="H45" i="27"/>
  <c r="I45" i="27"/>
  <c r="H46" i="27"/>
  <c r="I46" i="27"/>
  <c r="H47" i="27"/>
  <c r="I47" i="27"/>
  <c r="H48" i="27"/>
  <c r="I48" i="27"/>
  <c r="H49" i="27"/>
  <c r="I49" i="27"/>
  <c r="H50" i="27"/>
  <c r="I50" i="27"/>
  <c r="H51" i="27"/>
  <c r="I51" i="27"/>
  <c r="H52" i="27"/>
  <c r="I52" i="27"/>
  <c r="H53" i="27"/>
  <c r="I53" i="27"/>
  <c r="H54" i="27"/>
  <c r="I54" i="27"/>
  <c r="H55" i="27"/>
  <c r="I55" i="27"/>
  <c r="H56" i="27"/>
  <c r="I56" i="27"/>
  <c r="H57" i="27"/>
  <c r="I57" i="27"/>
  <c r="H58" i="27"/>
  <c r="I58" i="27"/>
  <c r="H59" i="27"/>
  <c r="I59" i="27"/>
  <c r="H60" i="27"/>
  <c r="I60" i="27"/>
  <c r="H61" i="27"/>
  <c r="I61" i="27"/>
  <c r="H62" i="27"/>
  <c r="I62" i="27"/>
  <c r="H63" i="27"/>
  <c r="I63" i="27"/>
  <c r="H64" i="27"/>
  <c r="I64" i="27"/>
  <c r="H65" i="27"/>
  <c r="I65" i="27"/>
  <c r="H66" i="27"/>
  <c r="I66" i="27"/>
  <c r="H67" i="27"/>
  <c r="I67" i="27"/>
  <c r="H68" i="27"/>
  <c r="I68" i="27"/>
  <c r="H69" i="27"/>
  <c r="I69" i="27"/>
  <c r="H70" i="27"/>
  <c r="I70" i="27"/>
  <c r="H71" i="27"/>
  <c r="I71" i="27"/>
  <c r="H72" i="27"/>
  <c r="I72" i="27"/>
  <c r="H73" i="27"/>
  <c r="I73" i="27"/>
  <c r="H74" i="27"/>
  <c r="I74" i="27"/>
  <c r="H75" i="27"/>
  <c r="I75" i="27"/>
  <c r="H76" i="27"/>
  <c r="I76" i="27"/>
  <c r="H77" i="27"/>
  <c r="I77" i="27"/>
  <c r="H78" i="27"/>
  <c r="I78" i="27"/>
  <c r="H79" i="27"/>
  <c r="I79" i="27"/>
  <c r="H80" i="27"/>
  <c r="I80" i="27"/>
  <c r="H81" i="27"/>
  <c r="I81" i="27"/>
  <c r="H82" i="27"/>
  <c r="I82" i="27"/>
  <c r="H83" i="27"/>
  <c r="I83" i="27"/>
  <c r="H84" i="27"/>
  <c r="I84" i="27"/>
  <c r="H85" i="27"/>
  <c r="I85" i="27"/>
  <c r="H86" i="27"/>
  <c r="I86" i="27"/>
  <c r="H87" i="27"/>
  <c r="I87" i="27"/>
  <c r="H88" i="27"/>
  <c r="I88" i="27"/>
  <c r="H89" i="27"/>
  <c r="I89" i="27"/>
  <c r="H90" i="27"/>
  <c r="I90" i="27"/>
  <c r="H91" i="27"/>
  <c r="I91" i="27"/>
  <c r="H92" i="27"/>
  <c r="I92" i="27"/>
  <c r="H93" i="27"/>
  <c r="I93" i="27"/>
  <c r="H94" i="27"/>
  <c r="I94" i="27"/>
  <c r="H95" i="27"/>
  <c r="I95" i="27"/>
  <c r="H96" i="27"/>
  <c r="I96" i="27"/>
  <c r="H97" i="27"/>
  <c r="I97" i="27"/>
  <c r="H98" i="27"/>
  <c r="I98" i="27"/>
  <c r="H99" i="27"/>
  <c r="I99" i="27"/>
  <c r="H100" i="27"/>
  <c r="I100" i="27"/>
  <c r="H101" i="27"/>
  <c r="I101" i="27"/>
  <c r="H102" i="27"/>
  <c r="I102" i="27"/>
  <c r="H103" i="27"/>
  <c r="I103" i="27"/>
  <c r="H104" i="27"/>
  <c r="I104" i="27"/>
  <c r="H105" i="27"/>
  <c r="I105" i="27"/>
  <c r="I18" i="27"/>
  <c r="H18" i="27"/>
  <c r="H8" i="27"/>
  <c r="I8" i="27"/>
  <c r="H9" i="27"/>
  <c r="I9" i="27"/>
  <c r="H10" i="27"/>
  <c r="I10" i="27"/>
  <c r="H11" i="27"/>
  <c r="I11" i="27"/>
  <c r="H12" i="27"/>
  <c r="I12" i="27"/>
  <c r="H13" i="27"/>
  <c r="I13" i="27"/>
  <c r="H14" i="27"/>
  <c r="I14" i="27"/>
  <c r="H15" i="27"/>
  <c r="I15" i="27"/>
  <c r="H16" i="27"/>
  <c r="I16" i="27"/>
  <c r="I7" i="27"/>
  <c r="H7" i="27"/>
  <c r="H8" i="26"/>
  <c r="I8" i="26"/>
  <c r="H9" i="26"/>
  <c r="I9" i="26"/>
  <c r="H10" i="26"/>
  <c r="I10" i="26"/>
  <c r="H11" i="26"/>
  <c r="I11" i="26"/>
  <c r="H12" i="26"/>
  <c r="I12" i="26"/>
  <c r="H13" i="26"/>
  <c r="I13" i="26"/>
  <c r="H14" i="26"/>
  <c r="I14" i="26"/>
  <c r="H15" i="26"/>
  <c r="I15" i="26"/>
  <c r="H16" i="26"/>
  <c r="I16" i="26"/>
  <c r="I7" i="26"/>
  <c r="H7" i="26"/>
  <c r="H19" i="15"/>
  <c r="I19" i="15"/>
  <c r="H20" i="15"/>
  <c r="I20" i="15"/>
  <c r="H21" i="15"/>
  <c r="I21" i="15"/>
  <c r="H25" i="15"/>
  <c r="I25" i="15"/>
  <c r="H26" i="15"/>
  <c r="I26" i="15"/>
  <c r="H27" i="15"/>
  <c r="I27" i="15"/>
  <c r="H28" i="15"/>
  <c r="I28" i="15"/>
  <c r="H29" i="15"/>
  <c r="I29" i="15"/>
  <c r="H30" i="15"/>
  <c r="I30" i="15"/>
  <c r="H31" i="15"/>
  <c r="I31" i="15"/>
  <c r="H32" i="15"/>
  <c r="I32" i="15"/>
  <c r="H33" i="15"/>
  <c r="I33" i="15"/>
  <c r="H34" i="15"/>
  <c r="I34" i="15"/>
  <c r="H36" i="15"/>
  <c r="I36" i="15"/>
  <c r="H45" i="15"/>
  <c r="I45" i="15"/>
  <c r="H46" i="15"/>
  <c r="I46" i="15"/>
  <c r="H47" i="15"/>
  <c r="I47" i="15"/>
  <c r="H48" i="15"/>
  <c r="I48" i="15"/>
  <c r="H49" i="15"/>
  <c r="I49" i="15"/>
  <c r="H50" i="15"/>
  <c r="I50" i="15"/>
  <c r="H51" i="15"/>
  <c r="I51" i="15"/>
  <c r="H52" i="15"/>
  <c r="I52" i="15"/>
  <c r="H53" i="15"/>
  <c r="I53" i="15"/>
  <c r="H54" i="15"/>
  <c r="I54" i="15"/>
  <c r="H55" i="15"/>
  <c r="I55" i="15"/>
  <c r="H56" i="15"/>
  <c r="I56" i="15"/>
  <c r="H57" i="15"/>
  <c r="I57" i="15"/>
  <c r="H58" i="15"/>
  <c r="I58" i="15"/>
  <c r="H59" i="15"/>
  <c r="I59" i="15"/>
  <c r="H60" i="15"/>
  <c r="I60" i="15"/>
  <c r="H61" i="15"/>
  <c r="I61" i="15"/>
  <c r="H62" i="15"/>
  <c r="I62" i="15"/>
  <c r="H63" i="15"/>
  <c r="I63" i="15"/>
  <c r="H64" i="15"/>
  <c r="I64" i="15"/>
  <c r="H65" i="15"/>
  <c r="I65" i="15"/>
  <c r="H66" i="15"/>
  <c r="I66" i="15"/>
  <c r="H67" i="15"/>
  <c r="I67" i="15"/>
  <c r="H68" i="15"/>
  <c r="I68" i="15"/>
  <c r="H69" i="15"/>
  <c r="I69" i="15"/>
  <c r="H70" i="15"/>
  <c r="I70" i="15"/>
  <c r="H71" i="15"/>
  <c r="I71" i="15"/>
  <c r="H72" i="15"/>
  <c r="I72" i="15"/>
  <c r="H73" i="15"/>
  <c r="I73" i="15"/>
  <c r="H74" i="15"/>
  <c r="I74" i="15"/>
  <c r="H75" i="15"/>
  <c r="I75" i="15"/>
  <c r="H76" i="15"/>
  <c r="I76" i="15"/>
  <c r="H77" i="15"/>
  <c r="I77" i="15"/>
  <c r="H78" i="15"/>
  <c r="I78" i="15"/>
  <c r="H79" i="15"/>
  <c r="I79" i="15"/>
  <c r="H80" i="15"/>
  <c r="I80" i="15"/>
  <c r="H81" i="15"/>
  <c r="I81" i="15"/>
  <c r="H82" i="15"/>
  <c r="I82" i="15"/>
  <c r="H83" i="15"/>
  <c r="I83" i="15"/>
  <c r="H84" i="15"/>
  <c r="I84" i="15"/>
  <c r="H85" i="15"/>
  <c r="I85" i="15"/>
  <c r="H86" i="15"/>
  <c r="I86" i="15"/>
  <c r="H87" i="15"/>
  <c r="I87" i="15"/>
  <c r="H88" i="15"/>
  <c r="I88" i="15"/>
  <c r="H89" i="15"/>
  <c r="I89" i="15"/>
  <c r="H90" i="15"/>
  <c r="I90" i="15"/>
  <c r="H91" i="15"/>
  <c r="I91" i="15"/>
  <c r="H92" i="15"/>
  <c r="I92" i="15"/>
  <c r="H93" i="15"/>
  <c r="I93" i="15"/>
  <c r="H94" i="15"/>
  <c r="I94" i="15"/>
  <c r="H95" i="15"/>
  <c r="I95" i="15"/>
  <c r="H96" i="15"/>
  <c r="I96" i="15"/>
  <c r="H97" i="15"/>
  <c r="I97" i="15"/>
  <c r="H98" i="15"/>
  <c r="I98" i="15"/>
  <c r="H99" i="15"/>
  <c r="I99" i="15"/>
  <c r="H100" i="15"/>
  <c r="I100" i="15"/>
  <c r="H101" i="15"/>
  <c r="I101" i="15"/>
  <c r="H102" i="15"/>
  <c r="I102" i="15"/>
  <c r="H103" i="15"/>
  <c r="I103" i="15"/>
  <c r="H104" i="15"/>
  <c r="I104" i="15"/>
  <c r="H105" i="15"/>
  <c r="I105" i="15"/>
  <c r="H18" i="15"/>
  <c r="I18" i="15"/>
  <c r="H8" i="15"/>
  <c r="I8" i="15"/>
  <c r="H9" i="15"/>
  <c r="I9" i="15"/>
  <c r="H10" i="15"/>
  <c r="I10" i="15"/>
  <c r="H11" i="15"/>
  <c r="I11" i="15"/>
  <c r="H12" i="15"/>
  <c r="I12" i="15"/>
  <c r="H13" i="15"/>
  <c r="I13" i="15"/>
  <c r="H14" i="15"/>
  <c r="I14" i="15"/>
  <c r="H15" i="15"/>
  <c r="I15" i="15"/>
  <c r="H16" i="15"/>
  <c r="I16" i="15"/>
  <c r="I7" i="15"/>
  <c r="H7" i="15"/>
  <c r="H19" i="24"/>
  <c r="I19" i="24"/>
  <c r="H20" i="24"/>
  <c r="I20" i="24"/>
  <c r="H21" i="24"/>
  <c r="I21" i="24"/>
  <c r="H22" i="24"/>
  <c r="I22" i="24"/>
  <c r="H23" i="24"/>
  <c r="I23" i="24"/>
  <c r="H24" i="24"/>
  <c r="I24" i="24"/>
  <c r="H25" i="24"/>
  <c r="I25" i="24"/>
  <c r="H26" i="24"/>
  <c r="I26" i="24"/>
  <c r="H27" i="24"/>
  <c r="I27" i="24"/>
  <c r="H28" i="24"/>
  <c r="I28" i="24"/>
  <c r="H29" i="24"/>
  <c r="I29" i="24"/>
  <c r="H30" i="24"/>
  <c r="I30" i="24"/>
  <c r="H31" i="24"/>
  <c r="I31" i="24"/>
  <c r="H45" i="24"/>
  <c r="I45" i="24"/>
  <c r="H46" i="24"/>
  <c r="I46" i="24"/>
  <c r="H47" i="24"/>
  <c r="I47" i="24"/>
  <c r="H48" i="24"/>
  <c r="I48" i="24"/>
  <c r="H49" i="24"/>
  <c r="I49" i="24"/>
  <c r="H50" i="24"/>
  <c r="I50" i="24"/>
  <c r="H51" i="24"/>
  <c r="I51" i="24"/>
  <c r="H52" i="24"/>
  <c r="I52" i="24"/>
  <c r="H53" i="24"/>
  <c r="I53" i="24"/>
  <c r="H54" i="24"/>
  <c r="I54" i="24"/>
  <c r="H55" i="24"/>
  <c r="I55" i="24"/>
  <c r="H56" i="24"/>
  <c r="I56" i="24"/>
  <c r="H57" i="24"/>
  <c r="I57" i="24"/>
  <c r="H58" i="24"/>
  <c r="I58" i="24"/>
  <c r="H59" i="24"/>
  <c r="I59" i="24"/>
  <c r="H60" i="24"/>
  <c r="I60" i="24"/>
  <c r="H61" i="24"/>
  <c r="I61" i="24"/>
  <c r="H62" i="24"/>
  <c r="I62" i="24"/>
  <c r="H63" i="24"/>
  <c r="I63" i="24"/>
  <c r="H64" i="24"/>
  <c r="I64" i="24"/>
  <c r="H65" i="24"/>
  <c r="I65" i="24"/>
  <c r="H66" i="24"/>
  <c r="I66" i="24"/>
  <c r="H67" i="24"/>
  <c r="I67" i="24"/>
  <c r="H68" i="24"/>
  <c r="I68" i="24"/>
  <c r="H69" i="24"/>
  <c r="I69" i="24"/>
  <c r="H70" i="24"/>
  <c r="I70" i="24"/>
  <c r="H71" i="24"/>
  <c r="I71" i="24"/>
  <c r="H72" i="24"/>
  <c r="I72" i="24"/>
  <c r="H73" i="24"/>
  <c r="I73" i="24"/>
  <c r="H74" i="24"/>
  <c r="I74" i="24"/>
  <c r="H75" i="24"/>
  <c r="I75" i="24"/>
  <c r="H76" i="24"/>
  <c r="I76" i="24"/>
  <c r="H77" i="24"/>
  <c r="I77" i="24"/>
  <c r="H78" i="24"/>
  <c r="I78" i="24"/>
  <c r="H79" i="24"/>
  <c r="I79" i="24"/>
  <c r="H80" i="24"/>
  <c r="I80" i="24"/>
  <c r="H81" i="24"/>
  <c r="I81" i="24"/>
  <c r="H82" i="24"/>
  <c r="I82" i="24"/>
  <c r="H83" i="24"/>
  <c r="I83" i="24"/>
  <c r="H84" i="24"/>
  <c r="I84" i="24"/>
  <c r="H85" i="24"/>
  <c r="I85" i="24"/>
  <c r="H86" i="24"/>
  <c r="I86" i="24"/>
  <c r="H87" i="24"/>
  <c r="I87" i="24"/>
  <c r="H88" i="24"/>
  <c r="I88" i="24"/>
  <c r="H89" i="24"/>
  <c r="I89" i="24"/>
  <c r="H90" i="24"/>
  <c r="I90" i="24"/>
  <c r="H91" i="24"/>
  <c r="I91" i="24"/>
  <c r="H92" i="24"/>
  <c r="I92" i="24"/>
  <c r="H93" i="24"/>
  <c r="I93" i="24"/>
  <c r="H94" i="24"/>
  <c r="I94" i="24"/>
  <c r="H95" i="24"/>
  <c r="I95" i="24"/>
  <c r="H96" i="24"/>
  <c r="I96" i="24"/>
  <c r="H97" i="24"/>
  <c r="I97" i="24"/>
  <c r="H98" i="24"/>
  <c r="I98" i="24"/>
  <c r="H99" i="24"/>
  <c r="I99" i="24"/>
  <c r="H100" i="24"/>
  <c r="I100" i="24"/>
  <c r="H101" i="24"/>
  <c r="I101" i="24"/>
  <c r="H102" i="24"/>
  <c r="I102" i="24"/>
  <c r="H103" i="24"/>
  <c r="I103" i="24"/>
  <c r="H104" i="24"/>
  <c r="I104" i="24"/>
  <c r="H105" i="24"/>
  <c r="I105" i="24"/>
  <c r="I18" i="24"/>
  <c r="H18" i="24"/>
  <c r="H8" i="24"/>
  <c r="I8" i="24"/>
  <c r="H9" i="24"/>
  <c r="I9" i="24"/>
  <c r="H10" i="24"/>
  <c r="I10" i="24"/>
  <c r="H11" i="24"/>
  <c r="I11" i="24"/>
  <c r="H12" i="24"/>
  <c r="I12" i="24"/>
  <c r="H13" i="24"/>
  <c r="I13" i="24"/>
  <c r="H14" i="24"/>
  <c r="I14" i="24"/>
  <c r="H15" i="24"/>
  <c r="I15" i="24"/>
  <c r="H16" i="24"/>
  <c r="I16" i="24"/>
  <c r="I7" i="24"/>
  <c r="H7" i="24"/>
  <c r="B10" i="2" l="1"/>
  <c r="J19" i="15"/>
  <c r="J20" i="15"/>
  <c r="J21" i="15"/>
  <c r="J25" i="15"/>
  <c r="J26" i="15"/>
  <c r="J27" i="15"/>
  <c r="J28" i="15"/>
  <c r="J29" i="15"/>
  <c r="J30" i="15"/>
  <c r="J31" i="15"/>
  <c r="J32" i="15"/>
  <c r="J33" i="15"/>
  <c r="J34" i="15"/>
  <c r="J36" i="15"/>
  <c r="J45" i="15"/>
  <c r="J46" i="15"/>
  <c r="J47" i="15"/>
  <c r="J48" i="15"/>
  <c r="J49" i="15"/>
  <c r="J50" i="15"/>
  <c r="J51" i="15"/>
  <c r="J52" i="15"/>
  <c r="J53" i="15"/>
  <c r="J54" i="15"/>
  <c r="J55" i="15"/>
  <c r="J56" i="15"/>
  <c r="J57" i="15"/>
  <c r="J58" i="15"/>
  <c r="J59" i="15"/>
  <c r="J60" i="15"/>
  <c r="J61" i="15"/>
  <c r="J62" i="15"/>
  <c r="J63" i="15"/>
  <c r="J64" i="15"/>
  <c r="J65" i="15"/>
  <c r="J66" i="15"/>
  <c r="J67" i="15"/>
  <c r="J68" i="15"/>
  <c r="J69" i="15"/>
  <c r="J70" i="15"/>
  <c r="J71" i="15"/>
  <c r="J72" i="15"/>
  <c r="J73" i="15"/>
  <c r="J74" i="15"/>
  <c r="J75" i="15"/>
  <c r="J76" i="15"/>
  <c r="J77" i="15"/>
  <c r="J78" i="15"/>
  <c r="J79" i="15"/>
  <c r="J80" i="15"/>
  <c r="J81" i="15"/>
  <c r="J82" i="15"/>
  <c r="J83" i="15"/>
  <c r="J84" i="15"/>
  <c r="J85" i="15"/>
  <c r="J86" i="15"/>
  <c r="J87" i="15"/>
  <c r="J88" i="15"/>
  <c r="J89" i="15"/>
  <c r="J90" i="15"/>
  <c r="J91" i="15"/>
  <c r="J92" i="15"/>
  <c r="J93" i="15"/>
  <c r="J94" i="15"/>
  <c r="J95" i="15"/>
  <c r="J96" i="15"/>
  <c r="J97" i="15"/>
  <c r="J98" i="15"/>
  <c r="J99" i="15"/>
  <c r="J100" i="15"/>
  <c r="J101" i="15"/>
  <c r="J102" i="15"/>
  <c r="J103" i="15"/>
  <c r="J104" i="15"/>
  <c r="J105" i="15"/>
  <c r="J19" i="26"/>
  <c r="J20" i="26"/>
  <c r="J21" i="26"/>
  <c r="J22" i="26"/>
  <c r="J23" i="26"/>
  <c r="J25" i="26"/>
  <c r="J26" i="26"/>
  <c r="J27" i="26"/>
  <c r="J28" i="26"/>
  <c r="J29" i="26"/>
  <c r="J30" i="26"/>
  <c r="J31" i="26"/>
  <c r="J32" i="26"/>
  <c r="J33" i="26"/>
  <c r="J34" i="26"/>
  <c r="J35" i="26"/>
  <c r="J36" i="26"/>
  <c r="J37" i="26"/>
  <c r="J38" i="26"/>
  <c r="J39" i="26"/>
  <c r="J45" i="26"/>
  <c r="J46" i="26"/>
  <c r="J47" i="26"/>
  <c r="J48" i="26"/>
  <c r="J49" i="26"/>
  <c r="J50" i="26"/>
  <c r="J51" i="26"/>
  <c r="J52" i="26"/>
  <c r="J53" i="26"/>
  <c r="J54" i="26"/>
  <c r="J55" i="26"/>
  <c r="J56" i="26"/>
  <c r="J57" i="26"/>
  <c r="J58" i="26"/>
  <c r="J59" i="26"/>
  <c r="J60" i="26"/>
  <c r="J61" i="26"/>
  <c r="J62" i="26"/>
  <c r="J63" i="26"/>
  <c r="J64" i="26"/>
  <c r="J65" i="26"/>
  <c r="J66" i="26"/>
  <c r="J67" i="26"/>
  <c r="J68" i="26"/>
  <c r="J69" i="26"/>
  <c r="J70" i="26"/>
  <c r="J71" i="26"/>
  <c r="J72" i="26"/>
  <c r="J73" i="26"/>
  <c r="J74" i="26"/>
  <c r="J75" i="26"/>
  <c r="J76" i="26"/>
  <c r="J77" i="26"/>
  <c r="J78" i="26"/>
  <c r="J79" i="26"/>
  <c r="J80" i="26"/>
  <c r="J81" i="26"/>
  <c r="J82" i="26"/>
  <c r="J83" i="26"/>
  <c r="J84" i="26"/>
  <c r="J85" i="26"/>
  <c r="J86" i="26"/>
  <c r="J87" i="26"/>
  <c r="J88" i="26"/>
  <c r="J89" i="26"/>
  <c r="J90" i="26"/>
  <c r="J91" i="26"/>
  <c r="J92" i="26"/>
  <c r="J93" i="26"/>
  <c r="J94" i="26"/>
  <c r="J95" i="26"/>
  <c r="J96" i="26"/>
  <c r="J97" i="26"/>
  <c r="J98" i="26"/>
  <c r="J99" i="26"/>
  <c r="J100" i="26"/>
  <c r="J101" i="26"/>
  <c r="J102" i="26"/>
  <c r="J103" i="26"/>
  <c r="J104" i="26"/>
  <c r="J105" i="26"/>
  <c r="J19" i="27"/>
  <c r="J21" i="27"/>
  <c r="J22" i="27"/>
  <c r="J25" i="27"/>
  <c r="J26" i="27"/>
  <c r="J27" i="27"/>
  <c r="J28" i="27"/>
  <c r="J29" i="27"/>
  <c r="J30" i="27"/>
  <c r="J31" i="27"/>
  <c r="J32" i="27"/>
  <c r="J33" i="27"/>
  <c r="J34" i="27"/>
  <c r="J35" i="27"/>
  <c r="J36" i="27"/>
  <c r="J37" i="27"/>
  <c r="J38" i="27"/>
  <c r="J39" i="27"/>
  <c r="J40" i="27"/>
  <c r="J41" i="27"/>
  <c r="J42" i="27"/>
  <c r="J43" i="27"/>
  <c r="J44" i="27"/>
  <c r="J45" i="27"/>
  <c r="J46" i="27"/>
  <c r="J47" i="27"/>
  <c r="J48" i="27"/>
  <c r="J49" i="27"/>
  <c r="J50" i="27"/>
  <c r="J51" i="27"/>
  <c r="J52" i="27"/>
  <c r="J53" i="27"/>
  <c r="J54" i="27"/>
  <c r="J55" i="27"/>
  <c r="J56" i="27"/>
  <c r="J57" i="27"/>
  <c r="J58" i="27"/>
  <c r="J59" i="27"/>
  <c r="J60" i="27"/>
  <c r="J61" i="27"/>
  <c r="J62" i="27"/>
  <c r="J63" i="27"/>
  <c r="J64" i="27"/>
  <c r="J65" i="27"/>
  <c r="J66" i="27"/>
  <c r="J67" i="27"/>
  <c r="J68" i="27"/>
  <c r="J69" i="27"/>
  <c r="J70" i="27"/>
  <c r="J71" i="27"/>
  <c r="J72" i="27"/>
  <c r="J73" i="27"/>
  <c r="J74" i="27"/>
  <c r="J75" i="27"/>
  <c r="J76" i="27"/>
  <c r="J77" i="27"/>
  <c r="J78" i="27"/>
  <c r="J79" i="27"/>
  <c r="J80" i="27"/>
  <c r="J81" i="27"/>
  <c r="J82" i="27"/>
  <c r="J83" i="27"/>
  <c r="J84" i="27"/>
  <c r="J85" i="27"/>
  <c r="J86" i="27"/>
  <c r="J87" i="27"/>
  <c r="J88" i="27"/>
  <c r="J89" i="27"/>
  <c r="J90" i="27"/>
  <c r="J91" i="27"/>
  <c r="J92" i="27"/>
  <c r="J93" i="27"/>
  <c r="J94" i="27"/>
  <c r="J95" i="27"/>
  <c r="J96" i="27"/>
  <c r="J97" i="27"/>
  <c r="J98" i="27"/>
  <c r="J99" i="27"/>
  <c r="J100" i="27"/>
  <c r="J101" i="27"/>
  <c r="J102" i="27"/>
  <c r="J103" i="27"/>
  <c r="J104" i="27"/>
  <c r="J105" i="27"/>
  <c r="J19" i="25"/>
  <c r="J20" i="25"/>
  <c r="J25" i="25"/>
  <c r="J26" i="25"/>
  <c r="J27" i="25"/>
  <c r="J28" i="25"/>
  <c r="J29" i="25"/>
  <c r="J30" i="25"/>
  <c r="J31" i="25"/>
  <c r="J32" i="25"/>
  <c r="J33" i="25"/>
  <c r="J45" i="25"/>
  <c r="J46" i="25"/>
  <c r="J47" i="25"/>
  <c r="J48" i="25"/>
  <c r="J49" i="25"/>
  <c r="J50" i="25"/>
  <c r="J51" i="25"/>
  <c r="J52" i="25"/>
  <c r="J53" i="25"/>
  <c r="J54" i="25"/>
  <c r="J55" i="25"/>
  <c r="J56" i="25"/>
  <c r="J57" i="25"/>
  <c r="J58" i="25"/>
  <c r="J59" i="25"/>
  <c r="J60" i="25"/>
  <c r="J61" i="25"/>
  <c r="J62" i="25"/>
  <c r="J63" i="25"/>
  <c r="J64" i="25"/>
  <c r="J65" i="25"/>
  <c r="J66" i="25"/>
  <c r="J67" i="25"/>
  <c r="J68" i="25"/>
  <c r="J69" i="25"/>
  <c r="J70" i="25"/>
  <c r="J71" i="25"/>
  <c r="J72" i="25"/>
  <c r="J73" i="25"/>
  <c r="J74" i="25"/>
  <c r="J75" i="25"/>
  <c r="J76" i="25"/>
  <c r="J77" i="25"/>
  <c r="J78" i="25"/>
  <c r="J79" i="25"/>
  <c r="J80" i="25"/>
  <c r="J81" i="25"/>
  <c r="J82" i="25"/>
  <c r="J83" i="25"/>
  <c r="J84" i="25"/>
  <c r="J85" i="25"/>
  <c r="J86" i="25"/>
  <c r="J87" i="25"/>
  <c r="J88" i="25"/>
  <c r="J89" i="25"/>
  <c r="J90" i="25"/>
  <c r="J91" i="25"/>
  <c r="J92" i="25"/>
  <c r="J93" i="25"/>
  <c r="J94" i="25"/>
  <c r="J95" i="25"/>
  <c r="J96" i="25"/>
  <c r="J97" i="25"/>
  <c r="J98" i="25"/>
  <c r="J99" i="25"/>
  <c r="J100" i="25"/>
  <c r="J101" i="25"/>
  <c r="J102" i="25"/>
  <c r="J103" i="25"/>
  <c r="J104" i="25"/>
  <c r="J105" i="25"/>
  <c r="J18" i="25"/>
  <c r="J18" i="27"/>
  <c r="J18" i="26"/>
  <c r="J18" i="15"/>
  <c r="J19" i="24"/>
  <c r="J20" i="24"/>
  <c r="J21" i="24"/>
  <c r="J22" i="24"/>
  <c r="J23" i="24"/>
  <c r="J24" i="24"/>
  <c r="J25" i="24"/>
  <c r="J26" i="24"/>
  <c r="J27" i="24"/>
  <c r="J28" i="24"/>
  <c r="J29" i="24"/>
  <c r="J30" i="24"/>
  <c r="J31" i="24"/>
  <c r="J45" i="24"/>
  <c r="J46" i="24"/>
  <c r="J47" i="24"/>
  <c r="J48" i="24"/>
  <c r="J49" i="24"/>
  <c r="J50" i="24"/>
  <c r="J51" i="24"/>
  <c r="J52" i="24"/>
  <c r="J53" i="24"/>
  <c r="J54" i="24"/>
  <c r="J55" i="24"/>
  <c r="J56" i="24"/>
  <c r="J57" i="24"/>
  <c r="J58" i="24"/>
  <c r="J59" i="24"/>
  <c r="J60" i="24"/>
  <c r="J61" i="24"/>
  <c r="J62" i="24"/>
  <c r="J63" i="24"/>
  <c r="J64" i="24"/>
  <c r="J65" i="24"/>
  <c r="J66" i="24"/>
  <c r="J67" i="24"/>
  <c r="J68" i="24"/>
  <c r="J69" i="24"/>
  <c r="J70" i="24"/>
  <c r="J71" i="24"/>
  <c r="J72" i="24"/>
  <c r="J73" i="24"/>
  <c r="J74" i="24"/>
  <c r="J75" i="24"/>
  <c r="J76" i="24"/>
  <c r="J77" i="24"/>
  <c r="J78" i="24"/>
  <c r="J79" i="24"/>
  <c r="J80" i="24"/>
  <c r="J81" i="24"/>
  <c r="J82" i="24"/>
  <c r="J83" i="24"/>
  <c r="J84" i="24"/>
  <c r="J85" i="24"/>
  <c r="J86" i="24"/>
  <c r="J87" i="24"/>
  <c r="J88" i="24"/>
  <c r="J89" i="24"/>
  <c r="J90" i="24"/>
  <c r="J91" i="24"/>
  <c r="J92" i="24"/>
  <c r="J93" i="24"/>
  <c r="J94" i="24"/>
  <c r="J95" i="24"/>
  <c r="J96" i="24"/>
  <c r="J97" i="24"/>
  <c r="J98" i="24"/>
  <c r="J99" i="24"/>
  <c r="J100" i="24"/>
  <c r="J101" i="24"/>
  <c r="J102" i="24"/>
  <c r="J103" i="24"/>
  <c r="J104" i="24"/>
  <c r="J105" i="24"/>
  <c r="J18" i="24"/>
  <c r="B24" i="2" s="1"/>
  <c r="C6" i="32" l="1"/>
  <c r="C4" i="32"/>
  <c r="G75" i="30"/>
  <c r="G74" i="30"/>
  <c r="G73" i="30"/>
  <c r="G72" i="30"/>
  <c r="G71" i="30"/>
  <c r="G70" i="30"/>
  <c r="G69" i="30"/>
  <c r="G68" i="30"/>
  <c r="G67" i="30"/>
  <c r="G66" i="30"/>
  <c r="G65" i="30"/>
  <c r="G64" i="30"/>
  <c r="G63" i="30"/>
  <c r="G62" i="30"/>
  <c r="G61" i="30"/>
  <c r="G60" i="30"/>
  <c r="G59" i="30"/>
  <c r="G58" i="30"/>
  <c r="G57" i="30"/>
  <c r="G56" i="30"/>
  <c r="G55" i="30"/>
  <c r="G54" i="30"/>
  <c r="G53" i="30"/>
  <c r="G52" i="30"/>
  <c r="G51" i="30"/>
  <c r="G50" i="30"/>
  <c r="G49" i="30"/>
  <c r="G48" i="30"/>
  <c r="G47" i="30"/>
  <c r="G46" i="30"/>
  <c r="G45" i="30"/>
  <c r="G44" i="30"/>
  <c r="F44" i="30"/>
  <c r="G43" i="30"/>
  <c r="F43" i="30"/>
  <c r="G42" i="30"/>
  <c r="F42" i="30"/>
  <c r="G41" i="30"/>
  <c r="F41" i="30"/>
  <c r="G40" i="30"/>
  <c r="F40" i="30"/>
  <c r="G39" i="30"/>
  <c r="F39" i="30"/>
  <c r="G38" i="30"/>
  <c r="F38" i="30"/>
  <c r="G37" i="30"/>
  <c r="F37" i="30"/>
  <c r="G36" i="30"/>
  <c r="F36" i="30"/>
  <c r="G35" i="30"/>
  <c r="F35" i="30"/>
  <c r="G34" i="30"/>
  <c r="F34" i="30"/>
  <c r="G33" i="30"/>
  <c r="F33" i="30"/>
  <c r="G32" i="30"/>
  <c r="G31" i="30"/>
  <c r="G30" i="30"/>
  <c r="G29" i="30"/>
  <c r="G28" i="30"/>
  <c r="G27" i="30"/>
  <c r="G26" i="30"/>
  <c r="G25" i="30"/>
  <c r="G24" i="30"/>
  <c r="G23" i="30"/>
  <c r="F23" i="30"/>
  <c r="G22" i="30"/>
  <c r="F22" i="30"/>
  <c r="G21" i="30"/>
  <c r="F21" i="30"/>
  <c r="G20" i="30"/>
  <c r="F20" i="30"/>
  <c r="G19" i="30"/>
  <c r="G18" i="30"/>
  <c r="G17" i="30"/>
  <c r="G16" i="30"/>
  <c r="G15" i="30"/>
  <c r="G14" i="30"/>
  <c r="G13" i="30"/>
  <c r="G12" i="30"/>
  <c r="G11" i="30"/>
  <c r="G10" i="30"/>
  <c r="G9" i="30"/>
  <c r="G8" i="30"/>
  <c r="G7" i="30"/>
  <c r="G6" i="30"/>
  <c r="I2" i="30"/>
  <c r="K106" i="25"/>
  <c r="G44" i="25"/>
  <c r="G43" i="25"/>
  <c r="G42" i="25"/>
  <c r="G41" i="25"/>
  <c r="G40" i="25"/>
  <c r="G39" i="25"/>
  <c r="G38" i="25"/>
  <c r="G37" i="25"/>
  <c r="G36" i="25"/>
  <c r="G35" i="25"/>
  <c r="G34" i="25"/>
  <c r="G24" i="25"/>
  <c r="G23" i="25"/>
  <c r="G22" i="25"/>
  <c r="G21" i="25"/>
  <c r="J2" i="25"/>
  <c r="K2" i="25" s="1"/>
  <c r="K106" i="27"/>
  <c r="G24" i="27"/>
  <c r="G23" i="27"/>
  <c r="G20" i="27"/>
  <c r="J2" i="27"/>
  <c r="K2" i="27" s="1"/>
  <c r="K106" i="26"/>
  <c r="G44" i="26"/>
  <c r="G43" i="26"/>
  <c r="G42" i="26"/>
  <c r="G41" i="26"/>
  <c r="G40" i="26"/>
  <c r="G24" i="26"/>
  <c r="J2" i="26"/>
  <c r="K2" i="26" s="1"/>
  <c r="K106" i="15"/>
  <c r="G44" i="15"/>
  <c r="G43" i="15"/>
  <c r="G42" i="15"/>
  <c r="G41" i="15"/>
  <c r="G40" i="15"/>
  <c r="G39" i="15"/>
  <c r="G38" i="15"/>
  <c r="G37" i="15"/>
  <c r="G35" i="15"/>
  <c r="G24" i="15"/>
  <c r="G23" i="15"/>
  <c r="G22" i="15"/>
  <c r="J2" i="15"/>
  <c r="K2" i="15" s="1"/>
  <c r="K106" i="24"/>
  <c r="G44" i="24"/>
  <c r="G43" i="24"/>
  <c r="G42" i="24"/>
  <c r="G41" i="24"/>
  <c r="G40" i="24"/>
  <c r="G39" i="24"/>
  <c r="G38" i="24"/>
  <c r="G37" i="24"/>
  <c r="G36" i="24"/>
  <c r="G35" i="24"/>
  <c r="G34" i="24"/>
  <c r="G33" i="24"/>
  <c r="G32" i="24"/>
  <c r="C7" i="24"/>
  <c r="C7" i="15" s="1"/>
  <c r="C8" i="15" s="1"/>
  <c r="C9" i="15" s="1"/>
  <c r="C10" i="15" s="1"/>
  <c r="C11" i="15" s="1"/>
  <c r="C12" i="15" s="1"/>
  <c r="C13" i="15" s="1"/>
  <c r="C14" i="15" s="1"/>
  <c r="C15" i="15" s="1"/>
  <c r="C16" i="15" s="1"/>
  <c r="C18" i="15" s="1"/>
  <c r="C19" i="15" s="1"/>
  <c r="C20" i="15" s="1"/>
  <c r="C21" i="15" s="1"/>
  <c r="C22" i="15" s="1"/>
  <c r="C23" i="15" s="1"/>
  <c r="C24" i="15" s="1"/>
  <c r="C25" i="15" s="1"/>
  <c r="C26" i="15" s="1"/>
  <c r="C27" i="15" s="1"/>
  <c r="C28" i="15" s="1"/>
  <c r="C29" i="15" s="1"/>
  <c r="C30" i="15" s="1"/>
  <c r="C31" i="15" s="1"/>
  <c r="C32" i="15" s="1"/>
  <c r="C33" i="15" s="1"/>
  <c r="C34" i="15" s="1"/>
  <c r="C35" i="15" s="1"/>
  <c r="C36" i="15" s="1"/>
  <c r="C37" i="15" s="1"/>
  <c r="C38" i="15" s="1"/>
  <c r="C39" i="15" s="1"/>
  <c r="C40" i="15" s="1"/>
  <c r="C41" i="15" s="1"/>
  <c r="C42" i="15" s="1"/>
  <c r="C43" i="15" s="1"/>
  <c r="C44" i="15" s="1"/>
  <c r="C45" i="15" s="1"/>
  <c r="C46" i="15" s="1"/>
  <c r="C47" i="15" s="1"/>
  <c r="C48" i="15" s="1"/>
  <c r="C49" i="15" s="1"/>
  <c r="C50" i="15" s="1"/>
  <c r="C51" i="15" s="1"/>
  <c r="C52" i="15" s="1"/>
  <c r="C53" i="15" s="1"/>
  <c r="C54" i="15" s="1"/>
  <c r="C55" i="15" s="1"/>
  <c r="C56" i="15" s="1"/>
  <c r="C57" i="15" s="1"/>
  <c r="C58" i="15" s="1"/>
  <c r="C59" i="15" s="1"/>
  <c r="C60" i="15" s="1"/>
  <c r="C61" i="15" s="1"/>
  <c r="C62" i="15" s="1"/>
  <c r="C63" i="15" s="1"/>
  <c r="C64" i="15" s="1"/>
  <c r="C65" i="15" s="1"/>
  <c r="C66" i="15" s="1"/>
  <c r="C67" i="15" s="1"/>
  <c r="C68" i="15" s="1"/>
  <c r="C69" i="15" s="1"/>
  <c r="C70" i="15" s="1"/>
  <c r="C71" i="15" s="1"/>
  <c r="C72" i="15" s="1"/>
  <c r="C73" i="15" s="1"/>
  <c r="C74" i="15" s="1"/>
  <c r="C75" i="15" s="1"/>
  <c r="C76" i="15" s="1"/>
  <c r="C77" i="15" s="1"/>
  <c r="C78" i="15" s="1"/>
  <c r="C79" i="15" s="1"/>
  <c r="C80" i="15" s="1"/>
  <c r="C81" i="15" s="1"/>
  <c r="C82" i="15" s="1"/>
  <c r="C83" i="15" s="1"/>
  <c r="C84" i="15" s="1"/>
  <c r="C85" i="15" s="1"/>
  <c r="C86" i="15" s="1"/>
  <c r="C87" i="15" s="1"/>
  <c r="C88" i="15" s="1"/>
  <c r="C89" i="15" s="1"/>
  <c r="C90" i="15" s="1"/>
  <c r="C91" i="15" s="1"/>
  <c r="C92" i="15" s="1"/>
  <c r="C93" i="15" s="1"/>
  <c r="C94" i="15" s="1"/>
  <c r="C95" i="15" s="1"/>
  <c r="C96" i="15" s="1"/>
  <c r="C97" i="15" s="1"/>
  <c r="C98" i="15" s="1"/>
  <c r="C99" i="15" s="1"/>
  <c r="C100" i="15" s="1"/>
  <c r="C101" i="15" s="1"/>
  <c r="C102" i="15" s="1"/>
  <c r="C103" i="15" s="1"/>
  <c r="C104" i="15" s="1"/>
  <c r="C105" i="15" s="1"/>
  <c r="K2" i="24"/>
  <c r="D21" i="2"/>
  <c r="H41" i="26" l="1"/>
  <c r="I41" i="26"/>
  <c r="H42" i="26"/>
  <c r="I42" i="26"/>
  <c r="H24" i="26"/>
  <c r="I24" i="26"/>
  <c r="H43" i="26"/>
  <c r="I43" i="26"/>
  <c r="H40" i="26"/>
  <c r="I40" i="26"/>
  <c r="H44" i="26"/>
  <c r="I44" i="26"/>
  <c r="J23" i="15"/>
  <c r="H23" i="15"/>
  <c r="I23" i="15"/>
  <c r="J42" i="15"/>
  <c r="H42" i="15"/>
  <c r="I42" i="15"/>
  <c r="J40" i="26"/>
  <c r="J20" i="27"/>
  <c r="I20" i="27"/>
  <c r="H20" i="27"/>
  <c r="J36" i="25"/>
  <c r="H36" i="25"/>
  <c r="I36" i="25"/>
  <c r="J40" i="25"/>
  <c r="H40" i="25"/>
  <c r="I40" i="25"/>
  <c r="J44" i="25"/>
  <c r="H44" i="25"/>
  <c r="I44" i="25"/>
  <c r="J22" i="15"/>
  <c r="H22" i="15"/>
  <c r="I22" i="15"/>
  <c r="J37" i="15"/>
  <c r="H37" i="15"/>
  <c r="I37" i="15"/>
  <c r="J41" i="15"/>
  <c r="H41" i="15"/>
  <c r="I41" i="15"/>
  <c r="J24" i="26"/>
  <c r="J43" i="26"/>
  <c r="J38" i="15"/>
  <c r="H38" i="15"/>
  <c r="I38" i="15"/>
  <c r="J44" i="26"/>
  <c r="J23" i="25"/>
  <c r="H23" i="25"/>
  <c r="I23" i="25"/>
  <c r="C8" i="24"/>
  <c r="C9" i="24" s="1"/>
  <c r="C10" i="24" s="1"/>
  <c r="C11" i="24" s="1"/>
  <c r="C12" i="24" s="1"/>
  <c r="C13" i="24" s="1"/>
  <c r="C14" i="24" s="1"/>
  <c r="C15" i="24" s="1"/>
  <c r="C16" i="24" s="1"/>
  <c r="C18" i="24" s="1"/>
  <c r="C19" i="24" s="1"/>
  <c r="C20" i="24" s="1"/>
  <c r="C21" i="24" s="1"/>
  <c r="C22" i="24" s="1"/>
  <c r="C23" i="24" s="1"/>
  <c r="C24" i="24" s="1"/>
  <c r="C25" i="24" s="1"/>
  <c r="C26" i="24" s="1"/>
  <c r="C27" i="24" s="1"/>
  <c r="C28" i="24" s="1"/>
  <c r="C29" i="24" s="1"/>
  <c r="C30" i="24" s="1"/>
  <c r="C31" i="24" s="1"/>
  <c r="C32" i="24" s="1"/>
  <c r="C33" i="24" s="1"/>
  <c r="C34" i="24" s="1"/>
  <c r="C35" i="24" s="1"/>
  <c r="C36" i="24" s="1"/>
  <c r="C37" i="24" s="1"/>
  <c r="C38" i="24" s="1"/>
  <c r="C39" i="24" s="1"/>
  <c r="C40" i="24" s="1"/>
  <c r="C41" i="24" s="1"/>
  <c r="C42" i="24" s="1"/>
  <c r="C43" i="24" s="1"/>
  <c r="C44" i="24" s="1"/>
  <c r="C45" i="24" s="1"/>
  <c r="C46" i="24" s="1"/>
  <c r="C47" i="24" s="1"/>
  <c r="C48" i="24" s="1"/>
  <c r="C49" i="24" s="1"/>
  <c r="C50" i="24" s="1"/>
  <c r="C51" i="24" s="1"/>
  <c r="C52" i="24" s="1"/>
  <c r="C53" i="24" s="1"/>
  <c r="C54" i="24" s="1"/>
  <c r="C55" i="24" s="1"/>
  <c r="C56" i="24" s="1"/>
  <c r="C57" i="24" s="1"/>
  <c r="C58" i="24" s="1"/>
  <c r="C59" i="24" s="1"/>
  <c r="C60" i="24" s="1"/>
  <c r="C61" i="24" s="1"/>
  <c r="C62" i="24" s="1"/>
  <c r="C63" i="24" s="1"/>
  <c r="C64" i="24" s="1"/>
  <c r="C65" i="24" s="1"/>
  <c r="C66" i="24" s="1"/>
  <c r="C67" i="24" s="1"/>
  <c r="C68" i="24" s="1"/>
  <c r="C69" i="24" s="1"/>
  <c r="C70" i="24" s="1"/>
  <c r="C71" i="24" s="1"/>
  <c r="C72" i="24" s="1"/>
  <c r="C73" i="24" s="1"/>
  <c r="C74" i="24" s="1"/>
  <c r="C75" i="24" s="1"/>
  <c r="C76" i="24" s="1"/>
  <c r="C77" i="24" s="1"/>
  <c r="C78" i="24" s="1"/>
  <c r="C79" i="24" s="1"/>
  <c r="C80" i="24" s="1"/>
  <c r="C81" i="24" s="1"/>
  <c r="C82" i="24" s="1"/>
  <c r="C83" i="24" s="1"/>
  <c r="C84" i="24" s="1"/>
  <c r="C85" i="24" s="1"/>
  <c r="C86" i="24" s="1"/>
  <c r="C87" i="24" s="1"/>
  <c r="C88" i="24" s="1"/>
  <c r="C89" i="24" s="1"/>
  <c r="C90" i="24" s="1"/>
  <c r="C91" i="24" s="1"/>
  <c r="C92" i="24" s="1"/>
  <c r="C93" i="24" s="1"/>
  <c r="C94" i="24" s="1"/>
  <c r="C95" i="24" s="1"/>
  <c r="C96" i="24" s="1"/>
  <c r="C97" i="24" s="1"/>
  <c r="C98" i="24" s="1"/>
  <c r="C99" i="24" s="1"/>
  <c r="C100" i="24" s="1"/>
  <c r="C101" i="24" s="1"/>
  <c r="C102" i="24" s="1"/>
  <c r="C103" i="24" s="1"/>
  <c r="C104" i="24" s="1"/>
  <c r="C105" i="24" s="1"/>
  <c r="J24" i="15"/>
  <c r="I24" i="15"/>
  <c r="H24" i="15"/>
  <c r="J39" i="15"/>
  <c r="H39" i="15"/>
  <c r="I39" i="15"/>
  <c r="J43" i="15"/>
  <c r="H43" i="15"/>
  <c r="I43" i="15"/>
  <c r="J41" i="26"/>
  <c r="J23" i="27"/>
  <c r="H23" i="27"/>
  <c r="I23" i="27"/>
  <c r="J24" i="25"/>
  <c r="H24" i="25"/>
  <c r="I24" i="25"/>
  <c r="J37" i="25"/>
  <c r="H37" i="25"/>
  <c r="I37" i="25"/>
  <c r="J41" i="25"/>
  <c r="H41" i="25"/>
  <c r="I41" i="25"/>
  <c r="J35" i="15"/>
  <c r="H35" i="15"/>
  <c r="I35" i="15"/>
  <c r="J40" i="15"/>
  <c r="H40" i="15"/>
  <c r="I40" i="15"/>
  <c r="J44" i="15"/>
  <c r="I44" i="15"/>
  <c r="H44" i="15"/>
  <c r="C7" i="26"/>
  <c r="C8" i="26" s="1"/>
  <c r="C9" i="26" s="1"/>
  <c r="C10" i="26" s="1"/>
  <c r="C11" i="26" s="1"/>
  <c r="C12" i="26" s="1"/>
  <c r="C13" i="26" s="1"/>
  <c r="C14" i="26" s="1"/>
  <c r="C15" i="26" s="1"/>
  <c r="C16" i="26" s="1"/>
  <c r="C18" i="26" s="1"/>
  <c r="C19" i="26" s="1"/>
  <c r="C20" i="26" s="1"/>
  <c r="C21" i="26" s="1"/>
  <c r="C22" i="26" s="1"/>
  <c r="C23" i="26" s="1"/>
  <c r="C24" i="26" s="1"/>
  <c r="C25" i="26" s="1"/>
  <c r="C26" i="26" s="1"/>
  <c r="C27" i="26" s="1"/>
  <c r="C28" i="26" s="1"/>
  <c r="C29" i="26" s="1"/>
  <c r="C30" i="26" s="1"/>
  <c r="C31" i="26" s="1"/>
  <c r="C32" i="26" s="1"/>
  <c r="C33" i="26" s="1"/>
  <c r="C34" i="26" s="1"/>
  <c r="C35" i="26" s="1"/>
  <c r="C36" i="26" s="1"/>
  <c r="C37" i="26" s="1"/>
  <c r="C38" i="26" s="1"/>
  <c r="C39" i="26" s="1"/>
  <c r="C40" i="26" s="1"/>
  <c r="C41" i="26" s="1"/>
  <c r="C42" i="26" s="1"/>
  <c r="C43" i="26" s="1"/>
  <c r="C44" i="26" s="1"/>
  <c r="C45" i="26" s="1"/>
  <c r="C46" i="26" s="1"/>
  <c r="C47" i="26" s="1"/>
  <c r="C48" i="26" s="1"/>
  <c r="C49" i="26" s="1"/>
  <c r="C50" i="26" s="1"/>
  <c r="C51" i="26" s="1"/>
  <c r="C52" i="26" s="1"/>
  <c r="C53" i="26" s="1"/>
  <c r="C54" i="26" s="1"/>
  <c r="C55" i="26" s="1"/>
  <c r="C56" i="26" s="1"/>
  <c r="C57" i="26" s="1"/>
  <c r="C58" i="26" s="1"/>
  <c r="C59" i="26" s="1"/>
  <c r="C60" i="26" s="1"/>
  <c r="C61" i="26" s="1"/>
  <c r="C62" i="26" s="1"/>
  <c r="C63" i="26" s="1"/>
  <c r="C64" i="26" s="1"/>
  <c r="C65" i="26" s="1"/>
  <c r="C66" i="26" s="1"/>
  <c r="C67" i="26" s="1"/>
  <c r="C68" i="26" s="1"/>
  <c r="C69" i="26" s="1"/>
  <c r="C70" i="26" s="1"/>
  <c r="C71" i="26" s="1"/>
  <c r="C72" i="26" s="1"/>
  <c r="C73" i="26" s="1"/>
  <c r="C74" i="26" s="1"/>
  <c r="C75" i="26" s="1"/>
  <c r="C76" i="26" s="1"/>
  <c r="C77" i="26" s="1"/>
  <c r="C78" i="26" s="1"/>
  <c r="C79" i="26" s="1"/>
  <c r="C80" i="26" s="1"/>
  <c r="C81" i="26" s="1"/>
  <c r="C82" i="26" s="1"/>
  <c r="C83" i="26" s="1"/>
  <c r="C84" i="26" s="1"/>
  <c r="C85" i="26" s="1"/>
  <c r="C86" i="26" s="1"/>
  <c r="C87" i="26" s="1"/>
  <c r="C88" i="26" s="1"/>
  <c r="C89" i="26" s="1"/>
  <c r="C90" i="26" s="1"/>
  <c r="C91" i="26" s="1"/>
  <c r="C92" i="26" s="1"/>
  <c r="C93" i="26" s="1"/>
  <c r="C94" i="26" s="1"/>
  <c r="C95" i="26" s="1"/>
  <c r="C96" i="26" s="1"/>
  <c r="C97" i="26" s="1"/>
  <c r="C98" i="26" s="1"/>
  <c r="C99" i="26" s="1"/>
  <c r="C100" i="26" s="1"/>
  <c r="C101" i="26" s="1"/>
  <c r="C102" i="26" s="1"/>
  <c r="C103" i="26" s="1"/>
  <c r="C104" i="26" s="1"/>
  <c r="C105" i="26" s="1"/>
  <c r="J42" i="26"/>
  <c r="J24" i="27"/>
  <c r="H24" i="27"/>
  <c r="I24" i="27"/>
  <c r="J21" i="25"/>
  <c r="H21" i="25"/>
  <c r="I21" i="25"/>
  <c r="J34" i="25"/>
  <c r="H34" i="25"/>
  <c r="I34" i="25"/>
  <c r="J38" i="25"/>
  <c r="H38" i="25"/>
  <c r="I38" i="25"/>
  <c r="J42" i="25"/>
  <c r="H42" i="25"/>
  <c r="I42" i="25"/>
  <c r="J22" i="25"/>
  <c r="H22" i="25"/>
  <c r="I22" i="25"/>
  <c r="J35" i="25"/>
  <c r="H35" i="25"/>
  <c r="I35" i="25"/>
  <c r="J39" i="25"/>
  <c r="H39" i="25"/>
  <c r="I39" i="25"/>
  <c r="J43" i="25"/>
  <c r="H43" i="25"/>
  <c r="I43" i="25"/>
  <c r="C7" i="32"/>
  <c r="C8" i="32" s="1"/>
  <c r="C5" i="32"/>
  <c r="H33" i="24"/>
  <c r="I33" i="24"/>
  <c r="J33" i="24"/>
  <c r="H35" i="24"/>
  <c r="I35" i="24"/>
  <c r="J35" i="24"/>
  <c r="H37" i="24"/>
  <c r="I37" i="24"/>
  <c r="J37" i="24"/>
  <c r="H39" i="24"/>
  <c r="I39" i="24"/>
  <c r="J39" i="24"/>
  <c r="H41" i="24"/>
  <c r="I41" i="24"/>
  <c r="J41" i="24"/>
  <c r="H43" i="24"/>
  <c r="I43" i="24"/>
  <c r="J43" i="24"/>
  <c r="C7" i="25"/>
  <c r="C8" i="25" s="1"/>
  <c r="C9" i="25" s="1"/>
  <c r="C10" i="25" s="1"/>
  <c r="C11" i="25" s="1"/>
  <c r="C12" i="25" s="1"/>
  <c r="C13" i="25" s="1"/>
  <c r="C14" i="25" s="1"/>
  <c r="C15" i="25" s="1"/>
  <c r="C16" i="25" s="1"/>
  <c r="C18" i="25" s="1"/>
  <c r="C19" i="25" s="1"/>
  <c r="C20" i="25" s="1"/>
  <c r="C21" i="25" s="1"/>
  <c r="C22" i="25" s="1"/>
  <c r="C23" i="25" s="1"/>
  <c r="C24" i="25" s="1"/>
  <c r="C25" i="25" s="1"/>
  <c r="C26" i="25" s="1"/>
  <c r="C27" i="25" s="1"/>
  <c r="C28" i="25" s="1"/>
  <c r="C29" i="25" s="1"/>
  <c r="C30" i="25" s="1"/>
  <c r="C31" i="25" s="1"/>
  <c r="C32" i="25" s="1"/>
  <c r="C33" i="25" s="1"/>
  <c r="C34" i="25" s="1"/>
  <c r="C35" i="25" s="1"/>
  <c r="C36" i="25" s="1"/>
  <c r="C37" i="25" s="1"/>
  <c r="C38" i="25" s="1"/>
  <c r="C39" i="25" s="1"/>
  <c r="C40" i="25" s="1"/>
  <c r="C41" i="25" s="1"/>
  <c r="C42" i="25" s="1"/>
  <c r="C43" i="25" s="1"/>
  <c r="C44" i="25" s="1"/>
  <c r="C45" i="25" s="1"/>
  <c r="C46" i="25" s="1"/>
  <c r="C47" i="25" s="1"/>
  <c r="C48" i="25" s="1"/>
  <c r="C49" i="25" s="1"/>
  <c r="C50" i="25" s="1"/>
  <c r="C51" i="25" s="1"/>
  <c r="C52" i="25" s="1"/>
  <c r="C53" i="25" s="1"/>
  <c r="C54" i="25" s="1"/>
  <c r="C55" i="25" s="1"/>
  <c r="C56" i="25" s="1"/>
  <c r="C57" i="25" s="1"/>
  <c r="C58" i="25" s="1"/>
  <c r="C59" i="25" s="1"/>
  <c r="C60" i="25" s="1"/>
  <c r="C61" i="25" s="1"/>
  <c r="C62" i="25" s="1"/>
  <c r="C63" i="25" s="1"/>
  <c r="C64" i="25" s="1"/>
  <c r="C65" i="25" s="1"/>
  <c r="C66" i="25" s="1"/>
  <c r="C67" i="25" s="1"/>
  <c r="C68" i="25" s="1"/>
  <c r="C69" i="25" s="1"/>
  <c r="C70" i="25" s="1"/>
  <c r="C71" i="25" s="1"/>
  <c r="C72" i="25" s="1"/>
  <c r="C73" i="25" s="1"/>
  <c r="C74" i="25" s="1"/>
  <c r="C75" i="25" s="1"/>
  <c r="C76" i="25" s="1"/>
  <c r="C77" i="25" s="1"/>
  <c r="C78" i="25" s="1"/>
  <c r="C79" i="25" s="1"/>
  <c r="C80" i="25" s="1"/>
  <c r="C81" i="25" s="1"/>
  <c r="C82" i="25" s="1"/>
  <c r="C83" i="25" s="1"/>
  <c r="C84" i="25" s="1"/>
  <c r="C85" i="25" s="1"/>
  <c r="C86" i="25" s="1"/>
  <c r="C87" i="25" s="1"/>
  <c r="C88" i="25" s="1"/>
  <c r="C89" i="25" s="1"/>
  <c r="C90" i="25" s="1"/>
  <c r="C91" i="25" s="1"/>
  <c r="C92" i="25" s="1"/>
  <c r="C93" i="25" s="1"/>
  <c r="C94" i="25" s="1"/>
  <c r="C95" i="25" s="1"/>
  <c r="C96" i="25" s="1"/>
  <c r="C97" i="25" s="1"/>
  <c r="C98" i="25" s="1"/>
  <c r="C99" i="25" s="1"/>
  <c r="C100" i="25" s="1"/>
  <c r="C101" i="25" s="1"/>
  <c r="C102" i="25" s="1"/>
  <c r="C103" i="25" s="1"/>
  <c r="C104" i="25" s="1"/>
  <c r="C105" i="25" s="1"/>
  <c r="C7" i="27"/>
  <c r="C8" i="27" s="1"/>
  <c r="C9" i="27" s="1"/>
  <c r="C10" i="27" s="1"/>
  <c r="C11" i="27" s="1"/>
  <c r="C12" i="27" s="1"/>
  <c r="C13" i="27" s="1"/>
  <c r="C14" i="27" s="1"/>
  <c r="C15" i="27" s="1"/>
  <c r="C16" i="27" s="1"/>
  <c r="C18" i="27" s="1"/>
  <c r="C19" i="27" s="1"/>
  <c r="C20" i="27" s="1"/>
  <c r="C21" i="27" s="1"/>
  <c r="C22" i="27" s="1"/>
  <c r="C23" i="27" s="1"/>
  <c r="C24" i="27" s="1"/>
  <c r="C25" i="27" s="1"/>
  <c r="C26" i="27" s="1"/>
  <c r="C27" i="27" s="1"/>
  <c r="C28" i="27" s="1"/>
  <c r="C29" i="27" s="1"/>
  <c r="C30" i="27" s="1"/>
  <c r="C31" i="27" s="1"/>
  <c r="C32" i="27" s="1"/>
  <c r="C33" i="27" s="1"/>
  <c r="C34" i="27" s="1"/>
  <c r="C35" i="27" s="1"/>
  <c r="C36" i="27" s="1"/>
  <c r="C37" i="27" s="1"/>
  <c r="C38" i="27" s="1"/>
  <c r="C39" i="27" s="1"/>
  <c r="C40" i="27" s="1"/>
  <c r="C41" i="27" s="1"/>
  <c r="C42" i="27" s="1"/>
  <c r="C43" i="27" s="1"/>
  <c r="C44" i="27" s="1"/>
  <c r="C45" i="27" s="1"/>
  <c r="C46" i="27" s="1"/>
  <c r="C47" i="27" s="1"/>
  <c r="C48" i="27" s="1"/>
  <c r="C49" i="27" s="1"/>
  <c r="C50" i="27" s="1"/>
  <c r="C51" i="27" s="1"/>
  <c r="C52" i="27" s="1"/>
  <c r="C53" i="27" s="1"/>
  <c r="C54" i="27" s="1"/>
  <c r="C55" i="27" s="1"/>
  <c r="C56" i="27" s="1"/>
  <c r="C57" i="27" s="1"/>
  <c r="C58" i="27" s="1"/>
  <c r="C59" i="27" s="1"/>
  <c r="C60" i="27" s="1"/>
  <c r="C61" i="27" s="1"/>
  <c r="C62" i="27" s="1"/>
  <c r="C63" i="27" s="1"/>
  <c r="C64" i="27" s="1"/>
  <c r="C65" i="27" s="1"/>
  <c r="C66" i="27" s="1"/>
  <c r="C67" i="27" s="1"/>
  <c r="C68" i="27" s="1"/>
  <c r="C69" i="27" s="1"/>
  <c r="C70" i="27" s="1"/>
  <c r="C71" i="27" s="1"/>
  <c r="C72" i="27" s="1"/>
  <c r="C73" i="27" s="1"/>
  <c r="C74" i="27" s="1"/>
  <c r="C75" i="27" s="1"/>
  <c r="C76" i="27" s="1"/>
  <c r="C77" i="27" s="1"/>
  <c r="C78" i="27" s="1"/>
  <c r="C79" i="27" s="1"/>
  <c r="C80" i="27" s="1"/>
  <c r="C81" i="27" s="1"/>
  <c r="C82" i="27" s="1"/>
  <c r="C83" i="27" s="1"/>
  <c r="C84" i="27" s="1"/>
  <c r="C85" i="27" s="1"/>
  <c r="C86" i="27" s="1"/>
  <c r="C87" i="27" s="1"/>
  <c r="C88" i="27" s="1"/>
  <c r="C89" i="27" s="1"/>
  <c r="C90" i="27" s="1"/>
  <c r="C91" i="27" s="1"/>
  <c r="C92" i="27" s="1"/>
  <c r="C93" i="27" s="1"/>
  <c r="C94" i="27" s="1"/>
  <c r="C95" i="27" s="1"/>
  <c r="C96" i="27" s="1"/>
  <c r="C97" i="27" s="1"/>
  <c r="C98" i="27" s="1"/>
  <c r="C99" i="27" s="1"/>
  <c r="C100" i="27" s="1"/>
  <c r="C101" i="27" s="1"/>
  <c r="C102" i="27" s="1"/>
  <c r="C103" i="27" s="1"/>
  <c r="C104" i="27" s="1"/>
  <c r="C105" i="27" s="1"/>
  <c r="I32" i="24"/>
  <c r="H32" i="24"/>
  <c r="J32" i="24"/>
  <c r="H34" i="24"/>
  <c r="I34" i="24"/>
  <c r="J34" i="24"/>
  <c r="I36" i="24"/>
  <c r="H36" i="24"/>
  <c r="J36" i="24"/>
  <c r="H38" i="24"/>
  <c r="I38" i="24"/>
  <c r="J38" i="24"/>
  <c r="H40" i="24"/>
  <c r="I40" i="24"/>
  <c r="J40" i="24"/>
  <c r="H42" i="24"/>
  <c r="I42" i="24"/>
  <c r="J42" i="24"/>
  <c r="I44" i="24"/>
  <c r="H44" i="24"/>
  <c r="J44" i="24"/>
  <c r="D13" i="2" l="1"/>
  <c r="B22" i="2" s="1"/>
</calcChain>
</file>

<file path=xl/sharedStrings.xml><?xml version="1.0" encoding="utf-8"?>
<sst xmlns="http://schemas.openxmlformats.org/spreadsheetml/2006/main" count="652" uniqueCount="556">
  <si>
    <t>REF #</t>
  </si>
  <si>
    <t>DATE</t>
  </si>
  <si>
    <t>PO NUMBER</t>
  </si>
  <si>
    <t>TIMESLOT</t>
  </si>
  <si>
    <t>L</t>
  </si>
  <si>
    <t>TC</t>
  </si>
  <si>
    <t>Customer:</t>
  </si>
  <si>
    <t>Date:</t>
  </si>
  <si>
    <t>Shipment:</t>
  </si>
  <si>
    <t>Reference List</t>
  </si>
  <si>
    <t>Delivery No:</t>
  </si>
  <si>
    <t>Despatch Summary from</t>
  </si>
  <si>
    <t>PLTS:</t>
  </si>
  <si>
    <t>ORIGIN.DOC</t>
  </si>
  <si>
    <t xml:space="preserve">CUSTOMER PO </t>
  </si>
  <si>
    <t>CUSTOMER NAMER</t>
  </si>
  <si>
    <t>ADDRESS</t>
  </si>
  <si>
    <t>Postcode</t>
  </si>
  <si>
    <t>Notes</t>
  </si>
  <si>
    <t>Delivery #</t>
  </si>
  <si>
    <t>SHIPMENT #</t>
  </si>
  <si>
    <t>Timeslot</t>
  </si>
  <si>
    <t>End Customer PO#:</t>
  </si>
  <si>
    <t>WE</t>
  </si>
  <si>
    <t>Time</t>
  </si>
  <si>
    <t>VOLUME</t>
  </si>
  <si>
    <t>DELIVERY #</t>
  </si>
  <si>
    <t>001-1</t>
  </si>
  <si>
    <t>001-2</t>
  </si>
  <si>
    <t>001-3</t>
  </si>
  <si>
    <t>005-1</t>
  </si>
  <si>
    <t>005-3</t>
  </si>
  <si>
    <t>005-2</t>
  </si>
  <si>
    <t>005-4</t>
  </si>
  <si>
    <t>005-5</t>
  </si>
  <si>
    <t>005-6</t>
  </si>
  <si>
    <t>005-7</t>
  </si>
  <si>
    <t>005-8</t>
  </si>
  <si>
    <t>005-9</t>
  </si>
  <si>
    <t>005-10</t>
  </si>
  <si>
    <t>001-4</t>
  </si>
  <si>
    <t>001-5</t>
  </si>
  <si>
    <t>001-6</t>
  </si>
  <si>
    <t>001-7</t>
  </si>
  <si>
    <t>001-8</t>
  </si>
  <si>
    <t>001-9</t>
  </si>
  <si>
    <t>001-10</t>
  </si>
  <si>
    <t>001-12</t>
  </si>
  <si>
    <t>001-13</t>
  </si>
  <si>
    <t>001-14</t>
  </si>
  <si>
    <t>001-15</t>
  </si>
  <si>
    <t>001-16</t>
  </si>
  <si>
    <t>001-17</t>
  </si>
  <si>
    <t>001-18</t>
  </si>
  <si>
    <t>001-19</t>
  </si>
  <si>
    <t>001-20</t>
  </si>
  <si>
    <t>001-21</t>
  </si>
  <si>
    <t>001-22</t>
  </si>
  <si>
    <t>001-23</t>
  </si>
  <si>
    <t>001-24</t>
  </si>
  <si>
    <t>001-25</t>
  </si>
  <si>
    <t>001-26</t>
  </si>
  <si>
    <t>001-27</t>
  </si>
  <si>
    <t>001-28</t>
  </si>
  <si>
    <t>001-29</t>
  </si>
  <si>
    <t>001-30</t>
  </si>
  <si>
    <t>001-31</t>
  </si>
  <si>
    <t>001-32</t>
  </si>
  <si>
    <t>001-33</t>
  </si>
  <si>
    <t>001-34</t>
  </si>
  <si>
    <t>001-35</t>
  </si>
  <si>
    <t>001-36</t>
  </si>
  <si>
    <t>001-37</t>
  </si>
  <si>
    <t>001-38</t>
  </si>
  <si>
    <t>001-39</t>
  </si>
  <si>
    <t>001-40</t>
  </si>
  <si>
    <t>001-41</t>
  </si>
  <si>
    <t>001-42</t>
  </si>
  <si>
    <t>001-43</t>
  </si>
  <si>
    <t>001-44</t>
  </si>
  <si>
    <t>001-45</t>
  </si>
  <si>
    <t>001-46</t>
  </si>
  <si>
    <t>001-47</t>
  </si>
  <si>
    <t>001-48</t>
  </si>
  <si>
    <t>001-49</t>
  </si>
  <si>
    <t>001-50</t>
  </si>
  <si>
    <t>001-51</t>
  </si>
  <si>
    <t>001-52</t>
  </si>
  <si>
    <t>001-53</t>
  </si>
  <si>
    <t>002-1</t>
  </si>
  <si>
    <t>002-2</t>
  </si>
  <si>
    <t>002-3</t>
  </si>
  <si>
    <t>002-4</t>
  </si>
  <si>
    <t>002-5</t>
  </si>
  <si>
    <t>002-6</t>
  </si>
  <si>
    <t>002-7</t>
  </si>
  <si>
    <t>002-8</t>
  </si>
  <si>
    <t>002-9</t>
  </si>
  <si>
    <t>002-10</t>
  </si>
  <si>
    <t>002-12</t>
  </si>
  <si>
    <t>002-13</t>
  </si>
  <si>
    <t>002-14</t>
  </si>
  <si>
    <t>002-15</t>
  </si>
  <si>
    <t>002-16</t>
  </si>
  <si>
    <t>002-17</t>
  </si>
  <si>
    <t>002-18</t>
  </si>
  <si>
    <t>002-19</t>
  </si>
  <si>
    <t>002-20</t>
  </si>
  <si>
    <t>002-21</t>
  </si>
  <si>
    <t>002-22</t>
  </si>
  <si>
    <t>002-23</t>
  </si>
  <si>
    <t>002-24</t>
  </si>
  <si>
    <t>002-25</t>
  </si>
  <si>
    <t>002-26</t>
  </si>
  <si>
    <t>002-27</t>
  </si>
  <si>
    <t>002-28</t>
  </si>
  <si>
    <t>002-29</t>
  </si>
  <si>
    <t>002-30</t>
  </si>
  <si>
    <t>002-31</t>
  </si>
  <si>
    <t>002-32</t>
  </si>
  <si>
    <t>002-33</t>
  </si>
  <si>
    <t>002-34</t>
  </si>
  <si>
    <t>002-35</t>
  </si>
  <si>
    <t>002-36</t>
  </si>
  <si>
    <t>002-37</t>
  </si>
  <si>
    <t>002-38</t>
  </si>
  <si>
    <t>002-39</t>
  </si>
  <si>
    <t>002-40</t>
  </si>
  <si>
    <t>002-41</t>
  </si>
  <si>
    <t>002-42</t>
  </si>
  <si>
    <t>002-43</t>
  </si>
  <si>
    <t>002-44</t>
  </si>
  <si>
    <t>002-45</t>
  </si>
  <si>
    <t>002-46</t>
  </si>
  <si>
    <t>002-47</t>
  </si>
  <si>
    <t>002-48</t>
  </si>
  <si>
    <t>002-49</t>
  </si>
  <si>
    <t>002-50</t>
  </si>
  <si>
    <t>002-51</t>
  </si>
  <si>
    <t>002-52</t>
  </si>
  <si>
    <t>002-53</t>
  </si>
  <si>
    <t>002-54</t>
  </si>
  <si>
    <t>002-55</t>
  </si>
  <si>
    <t>002-56</t>
  </si>
  <si>
    <t>002-57</t>
  </si>
  <si>
    <t>002-58</t>
  </si>
  <si>
    <t>002-59</t>
  </si>
  <si>
    <t>002-60</t>
  </si>
  <si>
    <t>002-61</t>
  </si>
  <si>
    <t>002-62</t>
  </si>
  <si>
    <t>002-63</t>
  </si>
  <si>
    <t>002-64</t>
  </si>
  <si>
    <t>002-65</t>
  </si>
  <si>
    <t>002-66</t>
  </si>
  <si>
    <t>002-67</t>
  </si>
  <si>
    <t>002-68</t>
  </si>
  <si>
    <t>002-69</t>
  </si>
  <si>
    <t>002-70</t>
  </si>
  <si>
    <t>002-71</t>
  </si>
  <si>
    <t>002-72</t>
  </si>
  <si>
    <t>002-73</t>
  </si>
  <si>
    <t>002-74</t>
  </si>
  <si>
    <t>002-75</t>
  </si>
  <si>
    <t>003-1</t>
  </si>
  <si>
    <t>003-2</t>
  </si>
  <si>
    <t>003-3</t>
  </si>
  <si>
    <t>003-4</t>
  </si>
  <si>
    <t>003-5</t>
  </si>
  <si>
    <t>003-6</t>
  </si>
  <si>
    <t>003-7</t>
  </si>
  <si>
    <t>003-8</t>
  </si>
  <si>
    <t>003-9</t>
  </si>
  <si>
    <t>003-10</t>
  </si>
  <si>
    <t>003-12</t>
  </si>
  <si>
    <t>003-13</t>
  </si>
  <si>
    <t>003-14</t>
  </si>
  <si>
    <t>003-15</t>
  </si>
  <si>
    <t>003-16</t>
  </si>
  <si>
    <t>003-17</t>
  </si>
  <si>
    <t>003-18</t>
  </si>
  <si>
    <t>003-19</t>
  </si>
  <si>
    <t>003-20</t>
  </si>
  <si>
    <t>003-21</t>
  </si>
  <si>
    <t>003-22</t>
  </si>
  <si>
    <t>003-23</t>
  </si>
  <si>
    <t>003-24</t>
  </si>
  <si>
    <t>003-25</t>
  </si>
  <si>
    <t>003-26</t>
  </si>
  <si>
    <t>003-27</t>
  </si>
  <si>
    <t>003-28</t>
  </si>
  <si>
    <t>003-29</t>
  </si>
  <si>
    <t>003-30</t>
  </si>
  <si>
    <t>003-31</t>
  </si>
  <si>
    <t>003-32</t>
  </si>
  <si>
    <t>003-33</t>
  </si>
  <si>
    <t>003-34</t>
  </si>
  <si>
    <t>003-35</t>
  </si>
  <si>
    <t>003-36</t>
  </si>
  <si>
    <t>003-37</t>
  </si>
  <si>
    <t>003-38</t>
  </si>
  <si>
    <t>003-39</t>
  </si>
  <si>
    <t>003-40</t>
  </si>
  <si>
    <t>003-41</t>
  </si>
  <si>
    <t>003-42</t>
  </si>
  <si>
    <t>003-43</t>
  </si>
  <si>
    <t>003-44</t>
  </si>
  <si>
    <t>003-45</t>
  </si>
  <si>
    <t>003-46</t>
  </si>
  <si>
    <t>003-47</t>
  </si>
  <si>
    <t>003-48</t>
  </si>
  <si>
    <t>003-49</t>
  </si>
  <si>
    <t>003-50</t>
  </si>
  <si>
    <t>003-51</t>
  </si>
  <si>
    <t>003-52</t>
  </si>
  <si>
    <t>003-53</t>
  </si>
  <si>
    <t>003-54</t>
  </si>
  <si>
    <t>003-55</t>
  </si>
  <si>
    <t>003-56</t>
  </si>
  <si>
    <t>003-57</t>
  </si>
  <si>
    <t>003-58</t>
  </si>
  <si>
    <t>003-59</t>
  </si>
  <si>
    <t>003-60</t>
  </si>
  <si>
    <t>003-61</t>
  </si>
  <si>
    <t>003-62</t>
  </si>
  <si>
    <t>003-63</t>
  </si>
  <si>
    <t>003-64</t>
  </si>
  <si>
    <t>003-65</t>
  </si>
  <si>
    <t>003-66</t>
  </si>
  <si>
    <t>003-67</t>
  </si>
  <si>
    <t>003-68</t>
  </si>
  <si>
    <t>003-69</t>
  </si>
  <si>
    <t>003-70</t>
  </si>
  <si>
    <t>003-71</t>
  </si>
  <si>
    <t>003-72</t>
  </si>
  <si>
    <t>003-73</t>
  </si>
  <si>
    <t>003-74</t>
  </si>
  <si>
    <t>003-75</t>
  </si>
  <si>
    <t>003-76</t>
  </si>
  <si>
    <t>003-77</t>
  </si>
  <si>
    <t>003-78</t>
  </si>
  <si>
    <t>003-79</t>
  </si>
  <si>
    <t>003-80</t>
  </si>
  <si>
    <t>003-81</t>
  </si>
  <si>
    <t>003-82</t>
  </si>
  <si>
    <t>003-83</t>
  </si>
  <si>
    <t>003-84</t>
  </si>
  <si>
    <t>003-85</t>
  </si>
  <si>
    <t>003-86</t>
  </si>
  <si>
    <t>003-87</t>
  </si>
  <si>
    <t>003-88</t>
  </si>
  <si>
    <t>003-89</t>
  </si>
  <si>
    <t>003-90</t>
  </si>
  <si>
    <t>003-91</t>
  </si>
  <si>
    <t>003-92</t>
  </si>
  <si>
    <t>003-93</t>
  </si>
  <si>
    <t>003-94</t>
  </si>
  <si>
    <t>003-95</t>
  </si>
  <si>
    <t>003-96</t>
  </si>
  <si>
    <t>003-97</t>
  </si>
  <si>
    <t>003-98</t>
  </si>
  <si>
    <t>003-99</t>
  </si>
  <si>
    <t>004-1</t>
  </si>
  <si>
    <t>004-2</t>
  </si>
  <si>
    <t>004-3</t>
  </si>
  <si>
    <t>004-4</t>
  </si>
  <si>
    <t>004-5</t>
  </si>
  <si>
    <t>004-6</t>
  </si>
  <si>
    <t>004-7</t>
  </si>
  <si>
    <t>004-8</t>
  </si>
  <si>
    <t>004-9</t>
  </si>
  <si>
    <t>004-10</t>
  </si>
  <si>
    <t>004-12</t>
  </si>
  <si>
    <t>004-13</t>
  </si>
  <si>
    <t>004-14</t>
  </si>
  <si>
    <t>004-15</t>
  </si>
  <si>
    <t>004-16</t>
  </si>
  <si>
    <t>004-17</t>
  </si>
  <si>
    <t>004-18</t>
  </si>
  <si>
    <t>004-19</t>
  </si>
  <si>
    <t>004-20</t>
  </si>
  <si>
    <t>004-21</t>
  </si>
  <si>
    <t>004-22</t>
  </si>
  <si>
    <t>004-23</t>
  </si>
  <si>
    <t>004-24</t>
  </si>
  <si>
    <t>004-25</t>
  </si>
  <si>
    <t>004-26</t>
  </si>
  <si>
    <t>004-27</t>
  </si>
  <si>
    <t>004-28</t>
  </si>
  <si>
    <t>004-29</t>
  </si>
  <si>
    <t>004-30</t>
  </si>
  <si>
    <t>004-31</t>
  </si>
  <si>
    <t>004-32</t>
  </si>
  <si>
    <t>004-33</t>
  </si>
  <si>
    <t>004-34</t>
  </si>
  <si>
    <t>004-35</t>
  </si>
  <si>
    <t>004-36</t>
  </si>
  <si>
    <t>004-37</t>
  </si>
  <si>
    <t>004-38</t>
  </si>
  <si>
    <t>004-39</t>
  </si>
  <si>
    <t>004-40</t>
  </si>
  <si>
    <t>004-41</t>
  </si>
  <si>
    <t>004-42</t>
  </si>
  <si>
    <t>004-43</t>
  </si>
  <si>
    <t>004-44</t>
  </si>
  <si>
    <t>004-45</t>
  </si>
  <si>
    <t>004-46</t>
  </si>
  <si>
    <t>004-47</t>
  </si>
  <si>
    <t>004-48</t>
  </si>
  <si>
    <t>004-49</t>
  </si>
  <si>
    <t>004-50</t>
  </si>
  <si>
    <t>004-51</t>
  </si>
  <si>
    <t>004-52</t>
  </si>
  <si>
    <t>004-53</t>
  </si>
  <si>
    <t>004-54</t>
  </si>
  <si>
    <t>004-55</t>
  </si>
  <si>
    <t>004-56</t>
  </si>
  <si>
    <t>004-57</t>
  </si>
  <si>
    <t>004-58</t>
  </si>
  <si>
    <t>004-59</t>
  </si>
  <si>
    <t>004-60</t>
  </si>
  <si>
    <t>004-61</t>
  </si>
  <si>
    <t>004-62</t>
  </si>
  <si>
    <t>004-63</t>
  </si>
  <si>
    <t>004-64</t>
  </si>
  <si>
    <t>004-65</t>
  </si>
  <si>
    <t>004-66</t>
  </si>
  <si>
    <t>004-67</t>
  </si>
  <si>
    <t>004-68</t>
  </si>
  <si>
    <t>004-69</t>
  </si>
  <si>
    <t>004-70</t>
  </si>
  <si>
    <t>004-71</t>
  </si>
  <si>
    <t>004-72</t>
  </si>
  <si>
    <t>004-73</t>
  </si>
  <si>
    <t>004-74</t>
  </si>
  <si>
    <t>004-75</t>
  </si>
  <si>
    <t>004-76</t>
  </si>
  <si>
    <t>004-77</t>
  </si>
  <si>
    <t>004-78</t>
  </si>
  <si>
    <t>004-79</t>
  </si>
  <si>
    <t>004-80</t>
  </si>
  <si>
    <t>004-81</t>
  </si>
  <si>
    <t>004-82</t>
  </si>
  <si>
    <t>004-83</t>
  </si>
  <si>
    <t>004-84</t>
  </si>
  <si>
    <t>004-85</t>
  </si>
  <si>
    <t>004-86</t>
  </si>
  <si>
    <t>004-87</t>
  </si>
  <si>
    <t>004-88</t>
  </si>
  <si>
    <t>004-89</t>
  </si>
  <si>
    <t>004-90</t>
  </si>
  <si>
    <t>004-91</t>
  </si>
  <si>
    <t>004-92</t>
  </si>
  <si>
    <t>004-93</t>
  </si>
  <si>
    <t>004-94</t>
  </si>
  <si>
    <t>004-95</t>
  </si>
  <si>
    <t>004-96</t>
  </si>
  <si>
    <t>004-97</t>
  </si>
  <si>
    <t>004-98</t>
  </si>
  <si>
    <t>004-99</t>
  </si>
  <si>
    <t>005-12</t>
  </si>
  <si>
    <t>005-13</t>
  </si>
  <si>
    <t>005-14</t>
  </si>
  <si>
    <t>005-15</t>
  </si>
  <si>
    <t>005-16</t>
  </si>
  <si>
    <t>005-17</t>
  </si>
  <si>
    <t>005-18</t>
  </si>
  <si>
    <t>005-19</t>
  </si>
  <si>
    <t>005-20</t>
  </si>
  <si>
    <t>005-21</t>
  </si>
  <si>
    <t>005-22</t>
  </si>
  <si>
    <t>005-23</t>
  </si>
  <si>
    <t>005-24</t>
  </si>
  <si>
    <t>005-25</t>
  </si>
  <si>
    <t>005-26</t>
  </si>
  <si>
    <t>005-27</t>
  </si>
  <si>
    <t>005-28</t>
  </si>
  <si>
    <t>005-29</t>
  </si>
  <si>
    <t>005-30</t>
  </si>
  <si>
    <t>005-31</t>
  </si>
  <si>
    <t>005-32</t>
  </si>
  <si>
    <t>005-33</t>
  </si>
  <si>
    <t>005-34</t>
  </si>
  <si>
    <t>005-35</t>
  </si>
  <si>
    <t>005-36</t>
  </si>
  <si>
    <t>005-37</t>
  </si>
  <si>
    <t>005-38</t>
  </si>
  <si>
    <t>005-39</t>
  </si>
  <si>
    <t>005-40</t>
  </si>
  <si>
    <t>005-41</t>
  </si>
  <si>
    <t>005-42</t>
  </si>
  <si>
    <t>005-43</t>
  </si>
  <si>
    <t>005-44</t>
  </si>
  <si>
    <t>005-45</t>
  </si>
  <si>
    <t>005-46</t>
  </si>
  <si>
    <t>005-47</t>
  </si>
  <si>
    <t>005-48</t>
  </si>
  <si>
    <t>005-49</t>
  </si>
  <si>
    <t>005-50</t>
  </si>
  <si>
    <t>005-51</t>
  </si>
  <si>
    <t>005-52</t>
  </si>
  <si>
    <t>005-53</t>
  </si>
  <si>
    <t>005-54</t>
  </si>
  <si>
    <t>005-55</t>
  </si>
  <si>
    <t>005-56</t>
  </si>
  <si>
    <t>005-57</t>
  </si>
  <si>
    <t>005-58</t>
  </si>
  <si>
    <t>005-59</t>
  </si>
  <si>
    <t>005-60</t>
  </si>
  <si>
    <t>005-61</t>
  </si>
  <si>
    <t>005-62</t>
  </si>
  <si>
    <t>005-63</t>
  </si>
  <si>
    <t>005-64</t>
  </si>
  <si>
    <t>005-65</t>
  </si>
  <si>
    <t>005-66</t>
  </si>
  <si>
    <t>005-67</t>
  </si>
  <si>
    <t>005-68</t>
  </si>
  <si>
    <t>005-69</t>
  </si>
  <si>
    <t>005-70</t>
  </si>
  <si>
    <t>005-71</t>
  </si>
  <si>
    <t>005-72</t>
  </si>
  <si>
    <t>005-73</t>
  </si>
  <si>
    <t>005-74</t>
  </si>
  <si>
    <t>005-75</t>
  </si>
  <si>
    <t>005-76</t>
  </si>
  <si>
    <t>005-77</t>
  </si>
  <si>
    <t>005-78</t>
  </si>
  <si>
    <t>005-79</t>
  </si>
  <si>
    <t>005-80</t>
  </si>
  <si>
    <t>005-81</t>
  </si>
  <si>
    <t>005-82</t>
  </si>
  <si>
    <t>005-83</t>
  </si>
  <si>
    <t>005-84</t>
  </si>
  <si>
    <t>005-85</t>
  </si>
  <si>
    <t>005-86</t>
  </si>
  <si>
    <t>005-87</t>
  </si>
  <si>
    <t>005-88</t>
  </si>
  <si>
    <t>005-89</t>
  </si>
  <si>
    <t>005-90</t>
  </si>
  <si>
    <t>005-91</t>
  </si>
  <si>
    <t>005-92</t>
  </si>
  <si>
    <t>005-93</t>
  </si>
  <si>
    <t>005-94</t>
  </si>
  <si>
    <t>005-95</t>
  </si>
  <si>
    <t>005-96</t>
  </si>
  <si>
    <t>005-97</t>
  </si>
  <si>
    <t>005-98</t>
  </si>
  <si>
    <t>005-99</t>
  </si>
  <si>
    <t>MONDAY</t>
  </si>
  <si>
    <t>TUESDAY</t>
  </si>
  <si>
    <t>WEDNESDAY</t>
  </si>
  <si>
    <t>THURSDAY</t>
  </si>
  <si>
    <t>FRIDAY</t>
  </si>
  <si>
    <t>CHANGE WE DATE</t>
  </si>
  <si>
    <t>CH</t>
  </si>
  <si>
    <t>DRY</t>
  </si>
  <si>
    <t>CUSTOMER NAME</t>
  </si>
  <si>
    <t>Werner Bailey No:</t>
  </si>
  <si>
    <t>Carrier No.</t>
  </si>
  <si>
    <t>Carrier</t>
  </si>
  <si>
    <t>Customer Pickup</t>
  </si>
  <si>
    <t>Bluestar Logistics</t>
  </si>
  <si>
    <t>CARRIER</t>
  </si>
  <si>
    <t>DELIVREY #</t>
  </si>
  <si>
    <t>Date Received</t>
  </si>
  <si>
    <t>Date Processed</t>
  </si>
  <si>
    <t>Carrier #</t>
  </si>
  <si>
    <t>RMA Number</t>
  </si>
  <si>
    <t>ASN Number</t>
  </si>
  <si>
    <t>Customer Name</t>
  </si>
  <si>
    <t>Return</t>
  </si>
  <si>
    <t>001-54</t>
  </si>
  <si>
    <t>001-55</t>
  </si>
  <si>
    <t>001-56</t>
  </si>
  <si>
    <t>001-57</t>
  </si>
  <si>
    <t>001-58</t>
  </si>
  <si>
    <t>001-59</t>
  </si>
  <si>
    <t>001-60</t>
  </si>
  <si>
    <t>001-61</t>
  </si>
  <si>
    <t>001-62</t>
  </si>
  <si>
    <t>001-63</t>
  </si>
  <si>
    <t>001-64</t>
  </si>
  <si>
    <t>001-65</t>
  </si>
  <si>
    <t>001-66</t>
  </si>
  <si>
    <t>001-67</t>
  </si>
  <si>
    <t>001-68</t>
  </si>
  <si>
    <t>001-69</t>
  </si>
  <si>
    <t>001-70</t>
  </si>
  <si>
    <t>001-71</t>
  </si>
  <si>
    <t>001-72</t>
  </si>
  <si>
    <t>001-73</t>
  </si>
  <si>
    <t>001-74</t>
  </si>
  <si>
    <t>001-75</t>
  </si>
  <si>
    <t>001-76</t>
  </si>
  <si>
    <t>001-77</t>
  </si>
  <si>
    <t>001-78</t>
  </si>
  <si>
    <t>001-79</t>
  </si>
  <si>
    <t>001-80</t>
  </si>
  <si>
    <t>001-81</t>
  </si>
  <si>
    <t>001-82</t>
  </si>
  <si>
    <t>001-83</t>
  </si>
  <si>
    <t>001-84</t>
  </si>
  <si>
    <t>001-85</t>
  </si>
  <si>
    <t>001-86</t>
  </si>
  <si>
    <t>001-87</t>
  </si>
  <si>
    <t>001-88</t>
  </si>
  <si>
    <t>001-89</t>
  </si>
  <si>
    <t>001-90</t>
  </si>
  <si>
    <t>001-91</t>
  </si>
  <si>
    <t>001-92</t>
  </si>
  <si>
    <t>001-93</t>
  </si>
  <si>
    <t>001-94</t>
  </si>
  <si>
    <t>001-95</t>
  </si>
  <si>
    <t>001-96</t>
  </si>
  <si>
    <t>001-97</t>
  </si>
  <si>
    <t>001-98</t>
  </si>
  <si>
    <t>001-99</t>
  </si>
  <si>
    <t>Pick up</t>
  </si>
  <si>
    <t>Comments</t>
  </si>
  <si>
    <t>Customer Pickups</t>
  </si>
  <si>
    <t>Shipment No.</t>
  </si>
  <si>
    <t>No. of packages</t>
  </si>
  <si>
    <t>No. of pallets</t>
  </si>
  <si>
    <t>Bluestar summary</t>
  </si>
  <si>
    <t>Cases</t>
  </si>
  <si>
    <t>Pallets Loaded</t>
  </si>
  <si>
    <t>Cases Loaded</t>
  </si>
  <si>
    <t>Pallets picked</t>
  </si>
  <si>
    <t>Bluestar Pk</t>
  </si>
  <si>
    <t>P/Up orders</t>
  </si>
  <si>
    <t>Bluestar</t>
  </si>
  <si>
    <t>002-76</t>
  </si>
  <si>
    <t>002-77</t>
  </si>
  <si>
    <t>002-78</t>
  </si>
  <si>
    <t>002-79</t>
  </si>
  <si>
    <t>002-80</t>
  </si>
  <si>
    <t>002-81</t>
  </si>
  <si>
    <t>002-82</t>
  </si>
  <si>
    <t>002-83</t>
  </si>
  <si>
    <t>002-84</t>
  </si>
  <si>
    <t>002-85</t>
  </si>
  <si>
    <t>002-86</t>
  </si>
  <si>
    <t>002-87</t>
  </si>
  <si>
    <t>002-88</t>
  </si>
  <si>
    <t>002-89</t>
  </si>
  <si>
    <t>002-90</t>
  </si>
  <si>
    <t>002-91</t>
  </si>
  <si>
    <t>002-92</t>
  </si>
  <si>
    <t>002-93</t>
  </si>
  <si>
    <t>002-94</t>
  </si>
  <si>
    <t>002-95</t>
  </si>
  <si>
    <t>002-96</t>
  </si>
  <si>
    <t>002-97</t>
  </si>
  <si>
    <t>002-98</t>
  </si>
  <si>
    <t>002-99</t>
  </si>
  <si>
    <t>Loscams</t>
  </si>
  <si>
    <t>Spaces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</si>
</sst>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[$-C09]dd\-mmm\-yy;@"/>
    <numFmt numFmtId="166" formatCode="[$-F800]dddd\,\ mmmm\ dd\,\ yyyy"/>
    <numFmt numFmtId="167" formatCode="dddd"/>
    <numFmt numFmtId="168" formatCode="hh:mm"/>
  </numFmts>
  <fonts count="63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30"/>
      <name val="Arial"/>
      <family val="2"/>
    </font>
    <font>
      <sz val="26"/>
      <name val="Arial"/>
      <family val="2"/>
    </font>
    <font>
      <b/>
      <sz val="10"/>
      <name val="Arial"/>
      <family val="2"/>
    </font>
    <font>
      <sz val="11"/>
      <name val="Arial"/>
      <family val="2"/>
    </font>
    <font>
      <b/>
      <sz val="40"/>
      <name val="Arial"/>
      <family val="2"/>
    </font>
    <font>
      <b/>
      <sz val="20"/>
      <name val="Arial"/>
      <family val="2"/>
    </font>
    <font>
      <b/>
      <sz val="22"/>
      <name val="Arial"/>
      <family val="2"/>
    </font>
    <font>
      <sz val="20"/>
      <name val="Arial"/>
      <family val="2"/>
    </font>
    <font>
      <u/>
      <sz val="20"/>
      <name val="Arial Black"/>
      <family val="2"/>
    </font>
    <font>
      <b/>
      <sz val="26"/>
      <name val="Arial"/>
      <family val="2"/>
    </font>
    <font>
      <sz val="20"/>
      <name val="Arial Black"/>
      <family val="2"/>
    </font>
    <font>
      <sz val="28"/>
      <name val="Arial"/>
      <family val="2"/>
    </font>
    <font>
      <b/>
      <sz val="26"/>
      <color indexed="10"/>
      <name val="Arial"/>
      <family val="2"/>
    </font>
    <font>
      <b/>
      <sz val="36"/>
      <name val="Arial"/>
      <family val="2"/>
    </font>
    <font>
      <b/>
      <sz val="24"/>
      <name val="Arial"/>
      <family val="2"/>
    </font>
    <font>
      <b/>
      <sz val="28"/>
      <name val="Arial"/>
      <family val="2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Arial"/>
      <family val="2"/>
    </font>
    <font>
      <sz val="11"/>
      <color rgb="FFFF0000"/>
      <name val="Arial"/>
      <family val="2"/>
    </font>
    <font>
      <b/>
      <sz val="30"/>
      <color theme="1"/>
      <name val="Arial"/>
      <family val="2"/>
    </font>
    <font>
      <sz val="11"/>
      <color rgb="FF000000"/>
      <name val="Bookman Old Style"/>
      <family val="1"/>
    </font>
    <font>
      <b/>
      <sz val="11"/>
      <color theme="1"/>
      <name val="Bookman Old Style"/>
      <family val="1"/>
    </font>
    <font>
      <sz val="11"/>
      <color theme="1"/>
      <name val="Bookman Old Style"/>
      <family val="1"/>
    </font>
    <font>
      <b/>
      <sz val="9"/>
      <name val="Arial"/>
      <family val="2"/>
    </font>
    <font>
      <sz val="9"/>
      <name val="Arial"/>
      <family val="2"/>
    </font>
    <font>
      <sz val="9"/>
      <name val="Calibri"/>
      <family val="2"/>
      <scheme val="minor"/>
    </font>
    <font>
      <b/>
      <sz val="18"/>
      <name val="Arial"/>
      <family val="2"/>
    </font>
    <font>
      <sz val="16"/>
      <name val="Arial"/>
      <family val="2"/>
    </font>
    <font>
      <sz val="9"/>
      <color theme="1"/>
      <name val="Calibri"/>
      <family val="2"/>
    </font>
    <font>
      <sz val="9"/>
      <color theme="1"/>
      <name val="Arial"/>
      <family val="2"/>
    </font>
    <font>
      <sz val="9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rgb="FFFF0000"/>
      <name val="Arial"/>
      <family val="2"/>
    </font>
    <font>
      <b/>
      <sz val="39"/>
      <name val="Arial"/>
      <family val="2"/>
    </font>
    <font>
      <b/>
      <sz val="10"/>
      <color theme="1"/>
      <name val="Arial"/>
      <family val="2"/>
    </font>
    <font>
      <b/>
      <sz val="9"/>
      <color theme="1"/>
      <name val="Arial"/>
      <family val="2"/>
    </font>
    <font>
      <sz val="9"/>
      <color rgb="FF000000"/>
      <name val="Arial"/>
      <family val="2"/>
    </font>
    <font>
      <sz val="24"/>
      <color rgb="FFFF0000"/>
      <name val="Arial"/>
      <family val="2"/>
    </font>
    <font>
      <u/>
      <sz val="14"/>
      <color rgb="FFFF0000"/>
      <name val="Arial Black"/>
      <family val="2"/>
    </font>
    <font>
      <b/>
      <sz val="22"/>
      <color rgb="FFFF0000"/>
      <name val="Arial"/>
      <family val="2"/>
    </font>
    <font>
      <b/>
      <sz val="12"/>
      <color rgb="FFFF0000"/>
      <name val="Arial"/>
      <family val="2"/>
    </font>
    <font>
      <b/>
      <sz val="11"/>
      <color rgb="FFFF0000"/>
      <name val="Arial"/>
      <family val="2"/>
    </font>
    <font>
      <b/>
      <sz val="64"/>
      <color rgb="FFFF0000"/>
      <name val="Arial"/>
      <family val="2"/>
    </font>
    <font>
      <sz val="48"/>
      <name val="Arial Black"/>
      <family val="2"/>
    </font>
    <font>
      <sz val="36"/>
      <color rgb="FFFF0000"/>
      <name val="Arial Black"/>
      <family val="2"/>
    </font>
    <font>
      <b/>
      <sz val="72"/>
      <name val="Arial"/>
      <family val="2"/>
    </font>
    <font>
      <u/>
      <sz val="18"/>
      <color rgb="FFFF0000"/>
      <name val="Arial Black"/>
      <family val="2"/>
    </font>
    <font>
      <b/>
      <sz val="24"/>
      <color rgb="FFFF0000"/>
      <name val="Arial"/>
      <family val="2"/>
    </font>
    <font>
      <b/>
      <u/>
      <sz val="24"/>
      <name val="Arial Black"/>
      <family val="2"/>
    </font>
    <font>
      <sz val="18"/>
      <name val="Arial"/>
      <family val="2"/>
    </font>
    <font>
      <b/>
      <sz val="11"/>
      <color theme="1"/>
      <name val="Calibri"/>
      <family val="2"/>
      <scheme val="minor"/>
    </font>
    <font>
      <sz val="9"/>
      <color theme="0" tint="-0.34998626667073579"/>
      <name val="Arial"/>
      <family val="2"/>
    </font>
    <font>
      <sz val="9"/>
      <color theme="0" tint="-0.249977111117893"/>
      <name val="Arial"/>
      <family val="2"/>
    </font>
    <font>
      <b/>
      <sz val="48"/>
      <color rgb="FFFF0000"/>
      <name val="Arial Black"/>
      <family val="2"/>
    </font>
    <font>
      <b/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rgb="FF000000"/>
      <name val="Calibri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</fonts>
  <fills count="2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A8E6B4"/>
        <bgColor indexed="64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rgb="FFB8323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FFC000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C0C0C0"/>
        <bgColor rgb="FF000000"/>
      </patternFill>
    </fill>
    <fill>
      <patternFill patternType="solid">
        <fgColor rgb="FFFFFFFF"/>
        <bgColor indexed="64"/>
      </patternFill>
    </fill>
    <fill>
      <patternFill patternType="solid">
        <fgColor theme="1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</fills>
  <borders count="4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1">
    <xf numFmtId="0" fontId="0" fillId="0" borderId="0"/>
    <xf numFmtId="0" fontId="19" fillId="5" borderId="1" applyNumberFormat="0" applyProtection="0">
      <alignment horizontal="center"/>
    </xf>
    <xf numFmtId="0" fontId="19" fillId="6" borderId="1" applyNumberFormat="0" applyProtection="0">
      <alignment horizontal="center"/>
    </xf>
    <xf numFmtId="0" fontId="1" fillId="0" borderId="0"/>
    <xf numFmtId="0" fontId="19" fillId="7" borderId="1" applyNumberFormat="0" applyProtection="0">
      <alignment horizontal="center"/>
    </xf>
    <xf numFmtId="0" fontId="18" fillId="8" borderId="27" applyNumberFormat="0" applyFont="0" applyAlignment="0" applyProtection="0"/>
    <xf numFmtId="0" fontId="19" fillId="9" borderId="1" applyNumberFormat="0" applyProtection="0">
      <alignment horizontal="center"/>
    </xf>
    <xf numFmtId="0" fontId="19" fillId="2" borderId="1" applyNumberFormat="0" applyFont="0" applyBorder="0" applyAlignment="0" applyProtection="0">
      <alignment horizontal="center"/>
    </xf>
    <xf numFmtId="0" fontId="18" fillId="10" borderId="1" applyNumberFormat="0" applyProtection="0">
      <alignment horizontal="center"/>
    </xf>
    <xf numFmtId="0" fontId="19" fillId="3" borderId="1" applyNumberFormat="0" applyProtection="0">
      <alignment horizontal="center"/>
    </xf>
    <xf numFmtId="0" fontId="19" fillId="4" borderId="1" applyNumberFormat="0" applyProtection="0">
      <alignment horizontal="center"/>
    </xf>
  </cellStyleXfs>
  <cellXfs count="262">
    <xf numFmtId="0" fontId="0" fillId="0" borderId="0" xfId="0"/>
    <xf numFmtId="0" fontId="1" fillId="11" borderId="0" xfId="3" applyFill="1" applyAlignment="1">
      <alignment horizontal="center"/>
    </xf>
    <xf numFmtId="0" fontId="1" fillId="11" borderId="0" xfId="3" applyFill="1"/>
    <xf numFmtId="1" fontId="1" fillId="11" borderId="0" xfId="3" applyNumberFormat="1" applyFill="1" applyAlignment="1">
      <alignment horizontal="center"/>
    </xf>
    <xf numFmtId="164" fontId="1" fillId="11" borderId="0" xfId="3" applyNumberFormat="1" applyFill="1" applyAlignment="1">
      <alignment horizontal="center"/>
    </xf>
    <xf numFmtId="0" fontId="2" fillId="11" borderId="2" xfId="3" applyFont="1" applyFill="1" applyBorder="1"/>
    <xf numFmtId="0" fontId="2" fillId="11" borderId="3" xfId="3" applyFont="1" applyFill="1" applyBorder="1"/>
    <xf numFmtId="0" fontId="1" fillId="11" borderId="7" xfId="3" applyFill="1" applyBorder="1"/>
    <xf numFmtId="0" fontId="1" fillId="11" borderId="8" xfId="3" applyFill="1" applyBorder="1"/>
    <xf numFmtId="0" fontId="1" fillId="11" borderId="9" xfId="3" applyFill="1" applyBorder="1"/>
    <xf numFmtId="0" fontId="1" fillId="11" borderId="10" xfId="3" applyFill="1" applyBorder="1"/>
    <xf numFmtId="0" fontId="1" fillId="11" borderId="11" xfId="3" applyFill="1" applyBorder="1"/>
    <xf numFmtId="0" fontId="6" fillId="12" borderId="12" xfId="3" applyFont="1" applyFill="1" applyBorder="1"/>
    <xf numFmtId="0" fontId="1" fillId="12" borderId="13" xfId="3" applyFill="1" applyBorder="1"/>
    <xf numFmtId="0" fontId="1" fillId="12" borderId="14" xfId="3" applyFill="1" applyBorder="1"/>
    <xf numFmtId="0" fontId="7" fillId="11" borderId="10" xfId="3" applyFont="1" applyFill="1" applyBorder="1" applyAlignment="1">
      <alignment horizontal="left" vertical="center"/>
    </xf>
    <xf numFmtId="0" fontId="9" fillId="11" borderId="0" xfId="3" applyFont="1" applyFill="1"/>
    <xf numFmtId="0" fontId="9" fillId="11" borderId="11" xfId="3" applyFont="1" applyFill="1" applyBorder="1"/>
    <xf numFmtId="0" fontId="10" fillId="11" borderId="7" xfId="3" applyFont="1" applyFill="1" applyBorder="1"/>
    <xf numFmtId="0" fontId="9" fillId="11" borderId="8" xfId="3" applyFont="1" applyFill="1" applyBorder="1"/>
    <xf numFmtId="0" fontId="11" fillId="11" borderId="9" xfId="3" applyFont="1" applyFill="1" applyBorder="1"/>
    <xf numFmtId="0" fontId="10" fillId="11" borderId="10" xfId="3" applyFont="1" applyFill="1" applyBorder="1"/>
    <xf numFmtId="0" fontId="9" fillId="11" borderId="14" xfId="3" applyFont="1" applyFill="1" applyBorder="1"/>
    <xf numFmtId="0" fontId="13" fillId="11" borderId="8" xfId="3" applyFont="1" applyFill="1" applyBorder="1"/>
    <xf numFmtId="0" fontId="20" fillId="0" borderId="0" xfId="0" applyFont="1"/>
    <xf numFmtId="0" fontId="20" fillId="0" borderId="15" xfId="0" applyFont="1" applyBorder="1"/>
    <xf numFmtId="0" fontId="20" fillId="0" borderId="5" xfId="0" applyFont="1" applyBorder="1"/>
    <xf numFmtId="0" fontId="20" fillId="0" borderId="16" xfId="0" applyFont="1" applyBorder="1"/>
    <xf numFmtId="0" fontId="20" fillId="0" borderId="17" xfId="0" applyFont="1" applyBorder="1"/>
    <xf numFmtId="0" fontId="5" fillId="0" borderId="5" xfId="3" applyFont="1" applyBorder="1"/>
    <xf numFmtId="0" fontId="2" fillId="11" borderId="8" xfId="3" applyFont="1" applyFill="1" applyBorder="1"/>
    <xf numFmtId="0" fontId="1" fillId="0" borderId="5" xfId="3" applyBorder="1"/>
    <xf numFmtId="0" fontId="5" fillId="0" borderId="0" xfId="3" applyFont="1"/>
    <xf numFmtId="0" fontId="17" fillId="11" borderId="11" xfId="3" applyFont="1" applyFill="1" applyBorder="1" applyAlignment="1">
      <alignment horizontal="right"/>
    </xf>
    <xf numFmtId="0" fontId="20" fillId="0" borderId="22" xfId="0" applyFont="1" applyBorder="1"/>
    <xf numFmtId="0" fontId="5" fillId="0" borderId="22" xfId="3" applyFont="1" applyBorder="1"/>
    <xf numFmtId="0" fontId="20" fillId="0" borderId="23" xfId="0" applyFont="1" applyBorder="1"/>
    <xf numFmtId="0" fontId="1" fillId="0" borderId="6" xfId="3" applyBorder="1"/>
    <xf numFmtId="0" fontId="5" fillId="11" borderId="0" xfId="3" applyFont="1" applyFill="1" applyAlignment="1">
      <alignment wrapText="1"/>
    </xf>
    <xf numFmtId="0" fontId="17" fillId="11" borderId="0" xfId="3" applyFont="1" applyFill="1" applyAlignment="1">
      <alignment horizontal="right"/>
    </xf>
    <xf numFmtId="0" fontId="1" fillId="11" borderId="5" xfId="3" applyFill="1" applyBorder="1"/>
    <xf numFmtId="0" fontId="1" fillId="0" borderId="15" xfId="3" applyBorder="1"/>
    <xf numFmtId="0" fontId="5" fillId="0" borderId="6" xfId="3" applyFont="1" applyBorder="1"/>
    <xf numFmtId="20" fontId="20" fillId="0" borderId="5" xfId="0" applyNumberFormat="1" applyFont="1" applyBorder="1"/>
    <xf numFmtId="0" fontId="1" fillId="0" borderId="5" xfId="7" applyFont="1" applyFill="1" applyBorder="1" applyAlignment="1"/>
    <xf numFmtId="0" fontId="1" fillId="0" borderId="5" xfId="9" applyFont="1" applyFill="1" applyBorder="1" applyAlignment="1"/>
    <xf numFmtId="0" fontId="23" fillId="15" borderId="0" xfId="0" applyFont="1" applyFill="1" applyAlignment="1">
      <alignment wrapText="1"/>
    </xf>
    <xf numFmtId="0" fontId="1" fillId="0" borderId="5" xfId="0" applyFont="1" applyBorder="1" applyAlignment="1">
      <alignment wrapText="1"/>
    </xf>
    <xf numFmtId="0" fontId="24" fillId="0" borderId="30" xfId="0" applyFont="1" applyBorder="1"/>
    <xf numFmtId="0" fontId="25" fillId="0" borderId="1" xfId="0" applyFont="1" applyBorder="1"/>
    <xf numFmtId="0" fontId="20" fillId="0" borderId="32" xfId="0" applyFont="1" applyBorder="1"/>
    <xf numFmtId="0" fontId="20" fillId="0" borderId="33" xfId="0" applyFont="1" applyBorder="1"/>
    <xf numFmtId="0" fontId="28" fillId="16" borderId="5" xfId="0" applyFont="1" applyFill="1" applyBorder="1" applyAlignment="1">
      <alignment wrapText="1"/>
    </xf>
    <xf numFmtId="0" fontId="27" fillId="0" borderId="5" xfId="7" applyFont="1" applyFill="1" applyBorder="1" applyAlignment="1">
      <alignment horizontal="left"/>
    </xf>
    <xf numFmtId="14" fontId="27" fillId="0" borderId="22" xfId="3" applyNumberFormat="1" applyFont="1" applyBorder="1" applyAlignment="1">
      <alignment horizontal="center"/>
    </xf>
    <xf numFmtId="0" fontId="28" fillId="0" borderId="5" xfId="0" applyFont="1" applyBorder="1" applyAlignment="1">
      <alignment wrapText="1"/>
    </xf>
    <xf numFmtId="0" fontId="27" fillId="0" borderId="5" xfId="0" applyFont="1" applyBorder="1" applyAlignment="1">
      <alignment wrapText="1"/>
    </xf>
    <xf numFmtId="0" fontId="26" fillId="0" borderId="5" xfId="0" applyFont="1" applyBorder="1" applyAlignment="1">
      <alignment wrapText="1"/>
    </xf>
    <xf numFmtId="0" fontId="1" fillId="11" borderId="3" xfId="3" applyFill="1" applyBorder="1" applyAlignment="1">
      <alignment wrapText="1"/>
    </xf>
    <xf numFmtId="0" fontId="1" fillId="0" borderId="32" xfId="0" applyFont="1" applyBorder="1" applyAlignment="1">
      <alignment wrapText="1"/>
    </xf>
    <xf numFmtId="0" fontId="27" fillId="0" borderId="32" xfId="7" applyFont="1" applyFill="1" applyBorder="1">
      <alignment horizontal="center"/>
    </xf>
    <xf numFmtId="14" fontId="27" fillId="0" borderId="33" xfId="7" applyNumberFormat="1" applyFont="1" applyFill="1" applyBorder="1">
      <alignment horizontal="center"/>
    </xf>
    <xf numFmtId="0" fontId="27" fillId="0" borderId="32" xfId="7" applyFont="1" applyFill="1" applyBorder="1" applyAlignment="1">
      <alignment horizontal="left"/>
    </xf>
    <xf numFmtId="0" fontId="4" fillId="14" borderId="35" xfId="0" applyFont="1" applyFill="1" applyBorder="1" applyAlignment="1">
      <alignment wrapText="1"/>
    </xf>
    <xf numFmtId="0" fontId="4" fillId="14" borderId="37" xfId="0" applyFont="1" applyFill="1" applyBorder="1" applyAlignment="1">
      <alignment wrapText="1"/>
    </xf>
    <xf numFmtId="0" fontId="26" fillId="14" borderId="37" xfId="0" applyFont="1" applyFill="1" applyBorder="1" applyAlignment="1">
      <alignment wrapText="1"/>
    </xf>
    <xf numFmtId="0" fontId="26" fillId="14" borderId="38" xfId="0" applyFont="1" applyFill="1" applyBorder="1" applyAlignment="1">
      <alignment wrapText="1"/>
    </xf>
    <xf numFmtId="0" fontId="4" fillId="14" borderId="2" xfId="0" applyFont="1" applyFill="1" applyBorder="1" applyAlignment="1">
      <alignment wrapText="1"/>
    </xf>
    <xf numFmtId="14" fontId="27" fillId="0" borderId="33" xfId="3" applyNumberFormat="1" applyFont="1" applyBorder="1" applyAlignment="1">
      <alignment horizontal="center"/>
    </xf>
    <xf numFmtId="0" fontId="29" fillId="14" borderId="37" xfId="0" applyFont="1" applyFill="1" applyBorder="1" applyAlignment="1">
      <alignment wrapText="1"/>
    </xf>
    <xf numFmtId="0" fontId="29" fillId="14" borderId="38" xfId="0" applyFont="1" applyFill="1" applyBorder="1" applyAlignment="1">
      <alignment wrapText="1"/>
    </xf>
    <xf numFmtId="0" fontId="1" fillId="0" borderId="39" xfId="0" applyFont="1" applyBorder="1" applyAlignment="1">
      <alignment wrapText="1"/>
    </xf>
    <xf numFmtId="0" fontId="31" fillId="18" borderId="0" xfId="0" applyFont="1" applyFill="1" applyAlignment="1">
      <alignment vertical="center" wrapText="1"/>
    </xf>
    <xf numFmtId="0" fontId="33" fillId="0" borderId="0" xfId="0" applyFont="1"/>
    <xf numFmtId="0" fontId="32" fillId="0" borderId="0" xfId="0" applyFont="1" applyAlignment="1">
      <alignment vertical="center" wrapText="1"/>
    </xf>
    <xf numFmtId="4" fontId="27" fillId="0" borderId="5" xfId="0" applyNumberFormat="1" applyFont="1" applyBorder="1" applyAlignment="1">
      <alignment wrapText="1"/>
    </xf>
    <xf numFmtId="0" fontId="27" fillId="0" borderId="5" xfId="7" applyFont="1" applyFill="1" applyBorder="1" applyAlignment="1">
      <alignment horizontal="left" vertical="center"/>
    </xf>
    <xf numFmtId="0" fontId="27" fillId="0" borderId="5" xfId="0" applyFont="1" applyBorder="1" applyAlignment="1">
      <alignment horizontal="center" vertical="center" wrapText="1"/>
    </xf>
    <xf numFmtId="4" fontId="27" fillId="0" borderId="5" xfId="0" applyNumberFormat="1" applyFont="1" applyBorder="1" applyAlignment="1">
      <alignment horizontal="center" vertical="center" wrapText="1"/>
    </xf>
    <xf numFmtId="16" fontId="0" fillId="0" borderId="0" xfId="0" applyNumberFormat="1"/>
    <xf numFmtId="0" fontId="27" fillId="0" borderId="32" xfId="0" applyFont="1" applyBorder="1" applyAlignment="1">
      <alignment wrapText="1"/>
    </xf>
    <xf numFmtId="0" fontId="34" fillId="0" borderId="0" xfId="0" applyFont="1"/>
    <xf numFmtId="0" fontId="1" fillId="0" borderId="5" xfId="0" applyFont="1" applyBorder="1" applyAlignment="1">
      <alignment horizontal="center" vertical="center" wrapText="1"/>
    </xf>
    <xf numFmtId="0" fontId="1" fillId="0" borderId="32" xfId="0" applyFont="1" applyBorder="1" applyAlignment="1">
      <alignment horizontal="center" vertical="center" wrapText="1"/>
    </xf>
    <xf numFmtId="0" fontId="35" fillId="11" borderId="0" xfId="3" applyFont="1" applyFill="1"/>
    <xf numFmtId="0" fontId="15" fillId="11" borderId="0" xfId="3" applyFont="1" applyFill="1" applyAlignment="1">
      <alignment horizontal="left" vertical="center"/>
    </xf>
    <xf numFmtId="0" fontId="2" fillId="11" borderId="7" xfId="3" applyFont="1" applyFill="1" applyBorder="1"/>
    <xf numFmtId="0" fontId="1" fillId="11" borderId="8" xfId="3" applyFill="1" applyBorder="1" applyAlignment="1">
      <alignment wrapText="1"/>
    </xf>
    <xf numFmtId="0" fontId="21" fillId="11" borderId="8" xfId="3" applyFont="1" applyFill="1" applyBorder="1"/>
    <xf numFmtId="14" fontId="3" fillId="11" borderId="8" xfId="3" applyNumberFormat="1" applyFont="1" applyFill="1" applyBorder="1"/>
    <xf numFmtId="0" fontId="37" fillId="19" borderId="18" xfId="0" applyFont="1" applyFill="1" applyBorder="1" applyAlignment="1">
      <alignment wrapText="1"/>
    </xf>
    <xf numFmtId="0" fontId="37" fillId="19" borderId="19" xfId="0" applyFont="1" applyFill="1" applyBorder="1" applyAlignment="1">
      <alignment wrapText="1"/>
    </xf>
    <xf numFmtId="0" fontId="38" fillId="19" borderId="18" xfId="0" applyFont="1" applyFill="1" applyBorder="1" applyAlignment="1">
      <alignment wrapText="1"/>
    </xf>
    <xf numFmtId="0" fontId="38" fillId="19" borderId="20" xfId="0" applyFont="1" applyFill="1" applyBorder="1" applyAlignment="1">
      <alignment wrapText="1"/>
    </xf>
    <xf numFmtId="0" fontId="4" fillId="19" borderId="35" xfId="0" applyFont="1" applyFill="1" applyBorder="1" applyAlignment="1">
      <alignment wrapText="1"/>
    </xf>
    <xf numFmtId="0" fontId="26" fillId="19" borderId="37" xfId="0" applyFont="1" applyFill="1" applyBorder="1" applyAlignment="1">
      <alignment wrapText="1"/>
    </xf>
    <xf numFmtId="0" fontId="26" fillId="19" borderId="38" xfId="0" applyFont="1" applyFill="1" applyBorder="1" applyAlignment="1">
      <alignment wrapText="1"/>
    </xf>
    <xf numFmtId="0" fontId="26" fillId="19" borderId="30" xfId="0" applyFont="1" applyFill="1" applyBorder="1" applyAlignment="1">
      <alignment wrapText="1"/>
    </xf>
    <xf numFmtId="0" fontId="4" fillId="17" borderId="35" xfId="0" applyFont="1" applyFill="1" applyBorder="1" applyAlignment="1">
      <alignment horizontal="center" vertical="center" wrapText="1"/>
    </xf>
    <xf numFmtId="0" fontId="4" fillId="17" borderId="37" xfId="0" applyFont="1" applyFill="1" applyBorder="1" applyAlignment="1">
      <alignment horizontal="center" vertical="center" wrapText="1"/>
    </xf>
    <xf numFmtId="0" fontId="4" fillId="17" borderId="38" xfId="0" applyFont="1" applyFill="1" applyBorder="1" applyAlignment="1">
      <alignment horizontal="center" vertical="center" wrapText="1"/>
    </xf>
    <xf numFmtId="0" fontId="4" fillId="17" borderId="30" xfId="0" applyFont="1" applyFill="1" applyBorder="1" applyAlignment="1">
      <alignment horizontal="center" vertical="center" wrapText="1"/>
    </xf>
    <xf numFmtId="0" fontId="4" fillId="19" borderId="36" xfId="0" applyFont="1" applyFill="1" applyBorder="1" applyAlignment="1">
      <alignment wrapText="1"/>
    </xf>
    <xf numFmtId="0" fontId="26" fillId="19" borderId="35" xfId="0" applyFont="1" applyFill="1" applyBorder="1" applyAlignment="1">
      <alignment wrapText="1"/>
    </xf>
    <xf numFmtId="0" fontId="26" fillId="19" borderId="36" xfId="0" applyFont="1" applyFill="1" applyBorder="1" applyAlignment="1">
      <alignment wrapText="1"/>
    </xf>
    <xf numFmtId="0" fontId="27" fillId="16" borderId="5" xfId="0" applyFont="1" applyFill="1" applyBorder="1" applyAlignment="1">
      <alignment wrapText="1"/>
    </xf>
    <xf numFmtId="0" fontId="39" fillId="0" borderId="5" xfId="0" applyFont="1" applyBorder="1" applyAlignment="1">
      <alignment wrapText="1"/>
    </xf>
    <xf numFmtId="0" fontId="27" fillId="16" borderId="32" xfId="0" applyFont="1" applyFill="1" applyBorder="1" applyAlignment="1">
      <alignment wrapText="1"/>
    </xf>
    <xf numFmtId="0" fontId="39" fillId="0" borderId="32" xfId="0" applyFont="1" applyBorder="1" applyAlignment="1">
      <alignment wrapText="1"/>
    </xf>
    <xf numFmtId="0" fontId="1" fillId="16" borderId="5" xfId="0" applyFont="1" applyFill="1" applyBorder="1" applyAlignment="1">
      <alignment horizontal="center" vertical="center" wrapText="1"/>
    </xf>
    <xf numFmtId="0" fontId="1" fillId="16" borderId="39" xfId="0" applyFont="1" applyFill="1" applyBorder="1" applyAlignment="1">
      <alignment horizontal="center" vertical="center" wrapText="1"/>
    </xf>
    <xf numFmtId="0" fontId="27" fillId="16" borderId="5" xfId="0" applyFont="1" applyFill="1" applyBorder="1" applyAlignment="1">
      <alignment horizontal="left" vertical="center" wrapText="1"/>
    </xf>
    <xf numFmtId="0" fontId="26" fillId="19" borderId="40" xfId="0" applyFont="1" applyFill="1" applyBorder="1" applyAlignment="1">
      <alignment wrapText="1"/>
    </xf>
    <xf numFmtId="0" fontId="40" fillId="11" borderId="3" xfId="3" applyFont="1" applyFill="1" applyBorder="1"/>
    <xf numFmtId="0" fontId="41" fillId="11" borderId="10" xfId="3" applyFont="1" applyFill="1" applyBorder="1"/>
    <xf numFmtId="20" fontId="28" fillId="16" borderId="32" xfId="0" applyNumberFormat="1" applyFont="1" applyFill="1" applyBorder="1" applyAlignment="1">
      <alignment horizontal="center" vertical="center" wrapText="1"/>
    </xf>
    <xf numFmtId="16" fontId="27" fillId="0" borderId="32" xfId="7" applyNumberFormat="1" applyFont="1" applyFill="1" applyBorder="1">
      <alignment horizontal="center"/>
    </xf>
    <xf numFmtId="0" fontId="34" fillId="0" borderId="5" xfId="0" applyFont="1" applyBorder="1"/>
    <xf numFmtId="0" fontId="25" fillId="0" borderId="28" xfId="0" applyFont="1" applyBorder="1"/>
    <xf numFmtId="0" fontId="25" fillId="0" borderId="28" xfId="0" applyFont="1" applyBorder="1" applyAlignment="1">
      <alignment horizontal="center" vertical="center"/>
    </xf>
    <xf numFmtId="20" fontId="25" fillId="0" borderId="28" xfId="0" applyNumberFormat="1" applyFont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25" fillId="0" borderId="31" xfId="0" applyFont="1" applyBorder="1"/>
    <xf numFmtId="0" fontId="25" fillId="0" borderId="34" xfId="0" applyFont="1" applyBorder="1"/>
    <xf numFmtId="0" fontId="25" fillId="0" borderId="34" xfId="0" applyFont="1" applyBorder="1" applyAlignment="1">
      <alignment horizontal="center" vertical="center"/>
    </xf>
    <xf numFmtId="0" fontId="25" fillId="0" borderId="29" xfId="0" applyFont="1" applyBorder="1"/>
    <xf numFmtId="0" fontId="25" fillId="0" borderId="29" xfId="0" applyFont="1" applyBorder="1" applyAlignment="1">
      <alignment horizontal="center" vertical="center"/>
    </xf>
    <xf numFmtId="0" fontId="25" fillId="0" borderId="1" xfId="0" applyFont="1" applyBorder="1" applyAlignment="1">
      <alignment horizontal="left" shrinkToFit="1"/>
    </xf>
    <xf numFmtId="0" fontId="25" fillId="0" borderId="1" xfId="0" applyFont="1" applyBorder="1" applyAlignment="1">
      <alignment shrinkToFit="1"/>
    </xf>
    <xf numFmtId="0" fontId="25" fillId="0" borderId="31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34" fillId="0" borderId="0" xfId="0" applyFont="1" applyAlignment="1">
      <alignment horizontal="center" vertical="center"/>
    </xf>
    <xf numFmtId="4" fontId="1" fillId="0" borderId="1" xfId="0" applyNumberFormat="1" applyFont="1" applyBorder="1" applyAlignment="1">
      <alignment horizontal="left" vertical="center"/>
    </xf>
    <xf numFmtId="0" fontId="1" fillId="0" borderId="1" xfId="0" applyFont="1" applyBorder="1" applyAlignment="1">
      <alignment horizontal="left" vertical="center" wrapText="1"/>
    </xf>
    <xf numFmtId="0" fontId="1" fillId="0" borderId="1" xfId="7" applyFont="1" applyFill="1" applyAlignment="1">
      <alignment horizontal="left" vertical="center"/>
    </xf>
    <xf numFmtId="0" fontId="25" fillId="0" borderId="5" xfId="0" applyFont="1" applyBorder="1"/>
    <xf numFmtId="0" fontId="27" fillId="0" borderId="1" xfId="7" applyFont="1" applyFill="1" applyAlignment="1">
      <alignment horizontal="left"/>
    </xf>
    <xf numFmtId="20" fontId="25" fillId="0" borderId="1" xfId="0" applyNumberFormat="1" applyFont="1" applyBorder="1" applyAlignment="1">
      <alignment horizontal="center" vertical="center"/>
    </xf>
    <xf numFmtId="165" fontId="8" fillId="11" borderId="9" xfId="3" applyNumberFormat="1" applyFont="1" applyFill="1" applyBorder="1" applyAlignment="1">
      <alignment horizontal="right"/>
    </xf>
    <xf numFmtId="0" fontId="16" fillId="11" borderId="30" xfId="3" applyFont="1" applyFill="1" applyBorder="1" applyAlignment="1">
      <alignment horizontal="center" vertical="center"/>
    </xf>
    <xf numFmtId="0" fontId="27" fillId="0" borderId="32" xfId="0" applyFont="1" applyBorder="1" applyAlignment="1">
      <alignment horizontal="left" wrapText="1"/>
    </xf>
    <xf numFmtId="0" fontId="25" fillId="0" borderId="28" xfId="0" applyFont="1" applyBorder="1" applyAlignment="1">
      <alignment horizontal="left"/>
    </xf>
    <xf numFmtId="20" fontId="28" fillId="16" borderId="5" xfId="0" applyNumberFormat="1" applyFont="1" applyFill="1" applyBorder="1" applyAlignment="1">
      <alignment horizontal="center" vertical="center" wrapText="1"/>
    </xf>
    <xf numFmtId="0" fontId="30" fillId="11" borderId="3" xfId="3" applyFont="1" applyFill="1" applyBorder="1" applyAlignment="1">
      <alignment vertical="center"/>
    </xf>
    <xf numFmtId="0" fontId="49" fillId="11" borderId="2" xfId="3" applyFont="1" applyFill="1" applyBorder="1"/>
    <xf numFmtId="0" fontId="50" fillId="11" borderId="4" xfId="3" applyFont="1" applyFill="1" applyBorder="1" applyAlignment="1">
      <alignment horizontal="right"/>
    </xf>
    <xf numFmtId="1" fontId="15" fillId="11" borderId="4" xfId="3" applyNumberFormat="1" applyFont="1" applyFill="1" applyBorder="1" applyAlignment="1">
      <alignment horizontal="right" vertical="center"/>
    </xf>
    <xf numFmtId="0" fontId="51" fillId="11" borderId="2" xfId="3" applyFont="1" applyFill="1" applyBorder="1" applyAlignment="1">
      <alignment vertical="center"/>
    </xf>
    <xf numFmtId="0" fontId="2" fillId="11" borderId="8" xfId="3" applyFont="1" applyFill="1" applyBorder="1" applyAlignment="1">
      <alignment vertical="center"/>
    </xf>
    <xf numFmtId="0" fontId="2" fillId="11" borderId="3" xfId="3" applyFont="1" applyFill="1" applyBorder="1" applyAlignment="1">
      <alignment vertical="center"/>
    </xf>
    <xf numFmtId="0" fontId="21" fillId="11" borderId="8" xfId="3" applyFont="1" applyFill="1" applyBorder="1" applyAlignment="1">
      <alignment horizontal="center"/>
    </xf>
    <xf numFmtId="0" fontId="26" fillId="19" borderId="38" xfId="0" applyFont="1" applyFill="1" applyBorder="1" applyAlignment="1">
      <alignment horizontal="center" wrapText="1"/>
    </xf>
    <xf numFmtId="0" fontId="0" fillId="0" borderId="0" xfId="0" applyAlignment="1">
      <alignment horizontal="center"/>
    </xf>
    <xf numFmtId="0" fontId="21" fillId="11" borderId="3" xfId="3" applyFont="1" applyFill="1" applyBorder="1" applyAlignment="1">
      <alignment horizontal="center"/>
    </xf>
    <xf numFmtId="0" fontId="38" fillId="19" borderId="21" xfId="0" applyFont="1" applyFill="1" applyBorder="1" applyAlignment="1">
      <alignment horizontal="center" wrapText="1"/>
    </xf>
    <xf numFmtId="14" fontId="43" fillId="13" borderId="3" xfId="3" applyNumberFormat="1" applyFont="1" applyFill="1" applyBorder="1" applyAlignment="1">
      <alignment horizontal="center" vertical="center"/>
    </xf>
    <xf numFmtId="166" fontId="43" fillId="13" borderId="4" xfId="3" applyNumberFormat="1" applyFont="1" applyFill="1" applyBorder="1" applyAlignment="1">
      <alignment vertical="center"/>
    </xf>
    <xf numFmtId="14" fontId="52" fillId="13" borderId="4" xfId="3" applyNumberFormat="1" applyFont="1" applyFill="1" applyBorder="1" applyAlignment="1">
      <alignment horizontal="center" vertical="center"/>
    </xf>
    <xf numFmtId="0" fontId="26" fillId="19" borderId="41" xfId="0" applyFont="1" applyFill="1" applyBorder="1" applyAlignment="1">
      <alignment wrapText="1"/>
    </xf>
    <xf numFmtId="14" fontId="52" fillId="13" borderId="2" xfId="3" applyNumberFormat="1" applyFont="1" applyFill="1" applyBorder="1" applyAlignment="1">
      <alignment horizontal="right" vertical="center"/>
    </xf>
    <xf numFmtId="0" fontId="1" fillId="0" borderId="22" xfId="0" applyFont="1" applyBorder="1" applyAlignment="1">
      <alignment wrapText="1"/>
    </xf>
    <xf numFmtId="14" fontId="27" fillId="0" borderId="42" xfId="3" applyNumberFormat="1" applyFont="1" applyBorder="1" applyAlignment="1">
      <alignment horizontal="center"/>
    </xf>
    <xf numFmtId="0" fontId="1" fillId="0" borderId="6" xfId="0" applyFont="1" applyBorder="1" applyAlignment="1">
      <alignment horizontal="center" vertical="center" wrapText="1"/>
    </xf>
    <xf numFmtId="0" fontId="1" fillId="0" borderId="33" xfId="0" applyFont="1" applyBorder="1" applyAlignment="1">
      <alignment wrapText="1"/>
    </xf>
    <xf numFmtId="0" fontId="27" fillId="0" borderId="20" xfId="7" applyFont="1" applyFill="1" applyBorder="1">
      <alignment horizontal="center"/>
    </xf>
    <xf numFmtId="166" fontId="44" fillId="13" borderId="4" xfId="3" applyNumberFormat="1" applyFont="1" applyFill="1" applyBorder="1" applyAlignment="1">
      <alignment vertical="center"/>
    </xf>
    <xf numFmtId="0" fontId="4" fillId="17" borderId="40" xfId="0" applyFont="1" applyFill="1" applyBorder="1" applyAlignment="1">
      <alignment horizontal="center" vertical="center" wrapText="1"/>
    </xf>
    <xf numFmtId="0" fontId="53" fillId="21" borderId="34" xfId="0" applyFont="1" applyFill="1" applyBorder="1"/>
    <xf numFmtId="0" fontId="53" fillId="21" borderId="1" xfId="0" applyFont="1" applyFill="1" applyBorder="1"/>
    <xf numFmtId="0" fontId="53" fillId="21" borderId="29" xfId="0" applyFont="1" applyFill="1" applyBorder="1"/>
    <xf numFmtId="0" fontId="53" fillId="0" borderId="34" xfId="0" applyFont="1" applyBorder="1" applyAlignment="1">
      <alignment horizontal="center"/>
    </xf>
    <xf numFmtId="0" fontId="53" fillId="0" borderId="1" xfId="0" applyFont="1" applyBorder="1" applyAlignment="1">
      <alignment horizontal="center"/>
    </xf>
    <xf numFmtId="0" fontId="53" fillId="0" borderId="29" xfId="0" applyFont="1" applyBorder="1" applyAlignment="1">
      <alignment horizontal="center"/>
    </xf>
    <xf numFmtId="0" fontId="19" fillId="0" borderId="1" xfId="4" applyFill="1">
      <alignment horizontal="center"/>
    </xf>
    <xf numFmtId="14" fontId="19" fillId="0" borderId="1" xfId="4" applyNumberFormat="1" applyFill="1">
      <alignment horizontal="center"/>
    </xf>
    <xf numFmtId="20" fontId="19" fillId="0" borderId="1" xfId="4" applyNumberFormat="1" applyFill="1">
      <alignment horizontal="center"/>
    </xf>
    <xf numFmtId="16" fontId="54" fillId="23" borderId="35" xfId="7" applyNumberFormat="1" applyFont="1" applyFill="1" applyBorder="1">
      <alignment horizontal="center"/>
    </xf>
    <xf numFmtId="14" fontId="54" fillId="23" borderId="38" xfId="3" applyNumberFormat="1" applyFont="1" applyFill="1" applyBorder="1" applyAlignment="1">
      <alignment horizontal="center"/>
    </xf>
    <xf numFmtId="0" fontId="4" fillId="23" borderId="40" xfId="0" applyFont="1" applyFill="1" applyBorder="1" applyAlignment="1">
      <alignment horizontal="center" wrapText="1"/>
    </xf>
    <xf numFmtId="0" fontId="27" fillId="23" borderId="38" xfId="0" applyFont="1" applyFill="1" applyBorder="1" applyAlignment="1">
      <alignment wrapText="1"/>
    </xf>
    <xf numFmtId="0" fontId="18" fillId="0" borderId="1" xfId="8" applyFill="1">
      <alignment horizontal="center"/>
    </xf>
    <xf numFmtId="20" fontId="18" fillId="0" borderId="1" xfId="8" applyNumberFormat="1" applyFill="1">
      <alignment horizontal="center"/>
    </xf>
    <xf numFmtId="4" fontId="18" fillId="0" borderId="1" xfId="8" applyNumberFormat="1" applyFill="1">
      <alignment horizontal="center"/>
    </xf>
    <xf numFmtId="0" fontId="54" fillId="23" borderId="35" xfId="7" applyFont="1" applyFill="1" applyBorder="1">
      <alignment horizontal="center"/>
    </xf>
    <xf numFmtId="0" fontId="55" fillId="23" borderId="35" xfId="7" applyFont="1" applyFill="1" applyBorder="1">
      <alignment horizontal="center"/>
    </xf>
    <xf numFmtId="14" fontId="55" fillId="23" borderId="38" xfId="3" applyNumberFormat="1" applyFont="1" applyFill="1" applyBorder="1" applyAlignment="1">
      <alignment horizontal="center"/>
    </xf>
    <xf numFmtId="0" fontId="18" fillId="0" borderId="31" xfId="8" applyFill="1" applyBorder="1">
      <alignment horizontal="center"/>
    </xf>
    <xf numFmtId="14" fontId="18" fillId="0" borderId="1" xfId="8" applyNumberFormat="1" applyFill="1">
      <alignment horizontal="center"/>
    </xf>
    <xf numFmtId="16" fontId="18" fillId="0" borderId="1" xfId="8" applyNumberFormat="1" applyFill="1">
      <alignment horizontal="center"/>
    </xf>
    <xf numFmtId="14" fontId="54" fillId="23" borderId="40" xfId="3" applyNumberFormat="1" applyFont="1" applyFill="1" applyBorder="1" applyAlignment="1">
      <alignment horizontal="center"/>
    </xf>
    <xf numFmtId="0" fontId="27" fillId="23" borderId="38" xfId="0" applyFont="1" applyFill="1" applyBorder="1" applyAlignment="1">
      <alignment horizontal="center" vertical="center" wrapText="1"/>
    </xf>
    <xf numFmtId="0" fontId="27" fillId="23" borderId="4" xfId="0" applyFont="1" applyFill="1" applyBorder="1" applyAlignment="1">
      <alignment horizontal="center" vertical="center" wrapText="1"/>
    </xf>
    <xf numFmtId="0" fontId="4" fillId="23" borderId="30" xfId="0" applyFont="1" applyFill="1" applyBorder="1" applyAlignment="1">
      <alignment horizontal="center" wrapText="1"/>
    </xf>
    <xf numFmtId="0" fontId="27" fillId="23" borderId="30" xfId="0" applyFont="1" applyFill="1" applyBorder="1" applyAlignment="1">
      <alignment wrapText="1"/>
    </xf>
    <xf numFmtId="0" fontId="4" fillId="23" borderId="30" xfId="0" applyFont="1" applyFill="1" applyBorder="1" applyAlignment="1">
      <alignment horizontal="center" vertical="center" wrapText="1"/>
    </xf>
    <xf numFmtId="14" fontId="55" fillId="23" borderId="40" xfId="3" applyNumberFormat="1" applyFont="1" applyFill="1" applyBorder="1" applyAlignment="1">
      <alignment horizontal="center"/>
    </xf>
    <xf numFmtId="0" fontId="0" fillId="0" borderId="1" xfId="8" applyFont="1" applyFill="1">
      <alignment horizontal="center"/>
    </xf>
    <xf numFmtId="0" fontId="57" fillId="0" borderId="1" xfId="8" applyFont="1" applyFill="1">
      <alignment horizontal="center"/>
    </xf>
    <xf numFmtId="0" fontId="57" fillId="0" borderId="1" xfId="4" applyFont="1" applyFill="1">
      <alignment horizontal="center"/>
    </xf>
    <xf numFmtId="0" fontId="19" fillId="0" borderId="1" xfId="8" applyFont="1" applyFill="1">
      <alignment horizontal="center"/>
    </xf>
    <xf numFmtId="0" fontId="58" fillId="0" borderId="1" xfId="8" applyFont="1" applyFill="1">
      <alignment horizontal="center"/>
    </xf>
    <xf numFmtId="0" fontId="19" fillId="0" borderId="1" xfId="9" applyFill="1">
      <alignment horizontal="center"/>
    </xf>
    <xf numFmtId="20" fontId="19" fillId="0" borderId="1" xfId="9" applyNumberFormat="1" applyFill="1">
      <alignment horizontal="center"/>
    </xf>
    <xf numFmtId="0" fontId="59" fillId="0" borderId="0" xfId="0" applyFont="1"/>
    <xf numFmtId="0" fontId="18" fillId="0" borderId="43" xfId="8" applyFill="1" applyBorder="1">
      <alignment horizontal="center"/>
    </xf>
    <xf numFmtId="0" fontId="18" fillId="0" borderId="28" xfId="8" applyFill="1" applyBorder="1">
      <alignment horizontal="center"/>
    </xf>
    <xf numFmtId="0" fontId="53" fillId="22" borderId="24" xfId="8" applyFont="1" applyFill="1" applyBorder="1" applyAlignment="1">
      <alignment horizontal="left"/>
    </xf>
    <xf numFmtId="0" fontId="53" fillId="22" borderId="15" xfId="8" applyFont="1" applyFill="1" applyBorder="1" applyAlignment="1">
      <alignment horizontal="left"/>
    </xf>
    <xf numFmtId="0" fontId="28" fillId="16" borderId="26" xfId="0" applyNumberFormat="1" applyFont="1" applyFill="1" applyBorder="1" applyAlignment="1">
      <alignment horizontal="right" wrapText="1"/>
    </xf>
    <xf numFmtId="0" fontId="28" fillId="16" borderId="44" xfId="0" applyNumberFormat="1" applyFont="1" applyFill="1" applyBorder="1" applyAlignment="1">
      <alignment horizontal="right" wrapText="1"/>
    </xf>
    <xf numFmtId="0" fontId="53" fillId="22" borderId="16" xfId="8" applyFont="1" applyFill="1" applyBorder="1" applyAlignment="1">
      <alignment horizontal="left"/>
    </xf>
    <xf numFmtId="0" fontId="28" fillId="16" borderId="45" xfId="0" applyNumberFormat="1" applyFont="1" applyFill="1" applyBorder="1" applyAlignment="1">
      <alignment horizontal="right" wrapText="1"/>
    </xf>
    <xf numFmtId="0" fontId="1" fillId="16" borderId="6" xfId="0" applyFont="1" applyFill="1" applyBorder="1" applyAlignment="1">
      <alignment horizontal="center" vertical="center" wrapText="1"/>
    </xf>
    <xf numFmtId="0" fontId="56" fillId="11" borderId="8" xfId="3" applyFont="1" applyFill="1" applyBorder="1" applyAlignment="1">
      <alignment horizontal="center" vertical="center"/>
    </xf>
    <xf numFmtId="0" fontId="36" fillId="11" borderId="7" xfId="3" applyFont="1" applyFill="1" applyBorder="1" applyAlignment="1">
      <alignment horizontal="left" vertical="center"/>
    </xf>
    <xf numFmtId="0" fontId="36" fillId="11" borderId="10" xfId="3" applyFont="1" applyFill="1" applyBorder="1" applyAlignment="1">
      <alignment horizontal="left" vertical="center"/>
    </xf>
    <xf numFmtId="0" fontId="15" fillId="11" borderId="9" xfId="3" applyFont="1" applyFill="1" applyBorder="1" applyAlignment="1">
      <alignment horizontal="left" vertical="center"/>
    </xf>
    <xf numFmtId="0" fontId="15" fillId="11" borderId="11" xfId="3" applyFont="1" applyFill="1" applyBorder="1" applyAlignment="1">
      <alignment horizontal="left" vertical="center"/>
    </xf>
    <xf numFmtId="168" fontId="45" fillId="11" borderId="12" xfId="3" applyNumberFormat="1" applyFont="1" applyFill="1" applyBorder="1" applyAlignment="1">
      <alignment horizontal="center" vertical="top"/>
    </xf>
    <xf numFmtId="168" fontId="45" fillId="11" borderId="13" xfId="3" applyNumberFormat="1" applyFont="1" applyFill="1" applyBorder="1" applyAlignment="1">
      <alignment horizontal="center" vertical="top"/>
    </xf>
    <xf numFmtId="168" fontId="45" fillId="11" borderId="14" xfId="3" applyNumberFormat="1" applyFont="1" applyFill="1" applyBorder="1" applyAlignment="1">
      <alignment horizontal="center" vertical="top"/>
    </xf>
    <xf numFmtId="167" fontId="48" fillId="11" borderId="2" xfId="3" applyNumberFormat="1" applyFont="1" applyFill="1" applyBorder="1" applyAlignment="1">
      <alignment horizontal="center" vertical="center"/>
    </xf>
    <xf numFmtId="167" fontId="48" fillId="11" borderId="3" xfId="3" applyNumberFormat="1" applyFont="1" applyFill="1" applyBorder="1" applyAlignment="1">
      <alignment horizontal="center" vertical="center"/>
    </xf>
    <xf numFmtId="167" fontId="48" fillId="11" borderId="4" xfId="3" applyNumberFormat="1" applyFont="1" applyFill="1" applyBorder="1" applyAlignment="1">
      <alignment horizontal="center" vertical="center"/>
    </xf>
    <xf numFmtId="0" fontId="46" fillId="11" borderId="10" xfId="3" applyFont="1" applyFill="1" applyBorder="1" applyAlignment="1">
      <alignment horizontal="center" vertical="center" wrapText="1"/>
    </xf>
    <xf numFmtId="0" fontId="46" fillId="11" borderId="0" xfId="3" applyFont="1" applyFill="1" applyAlignment="1">
      <alignment horizontal="center" vertical="center" wrapText="1"/>
    </xf>
    <xf numFmtId="0" fontId="46" fillId="11" borderId="11" xfId="3" applyFont="1" applyFill="1" applyBorder="1" applyAlignment="1">
      <alignment horizontal="center" vertical="center" wrapText="1"/>
    </xf>
    <xf numFmtId="0" fontId="12" fillId="11" borderId="12" xfId="3" applyFont="1" applyFill="1" applyBorder="1" applyAlignment="1">
      <alignment horizontal="center" vertical="center"/>
    </xf>
    <xf numFmtId="0" fontId="12" fillId="11" borderId="13" xfId="3" applyFont="1" applyFill="1" applyBorder="1" applyAlignment="1">
      <alignment horizontal="center" vertical="center"/>
    </xf>
    <xf numFmtId="0" fontId="12" fillId="11" borderId="14" xfId="3" applyFont="1" applyFill="1" applyBorder="1" applyAlignment="1">
      <alignment horizontal="center" vertical="center"/>
    </xf>
    <xf numFmtId="0" fontId="42" fillId="11" borderId="0" xfId="3" applyFont="1" applyFill="1" applyAlignment="1">
      <alignment horizontal="right"/>
    </xf>
    <xf numFmtId="0" fontId="42" fillId="11" borderId="11" xfId="3" applyFont="1" applyFill="1" applyBorder="1" applyAlignment="1">
      <alignment horizontal="right"/>
    </xf>
    <xf numFmtId="0" fontId="14" fillId="11" borderId="0" xfId="3" applyFont="1" applyFill="1" applyAlignment="1">
      <alignment horizontal="right"/>
    </xf>
    <xf numFmtId="0" fontId="14" fillId="11" borderId="11" xfId="3" applyFont="1" applyFill="1" applyBorder="1" applyAlignment="1">
      <alignment horizontal="right"/>
    </xf>
    <xf numFmtId="0" fontId="47" fillId="11" borderId="2" xfId="3" applyFont="1" applyFill="1" applyBorder="1" applyAlignment="1">
      <alignment horizontal="center" vertical="center" wrapText="1"/>
    </xf>
    <xf numFmtId="0" fontId="47" fillId="11" borderId="3" xfId="3" applyFont="1" applyFill="1" applyBorder="1" applyAlignment="1">
      <alignment horizontal="center" vertical="center" wrapText="1"/>
    </xf>
    <xf numFmtId="0" fontId="47" fillId="11" borderId="4" xfId="3" applyFont="1" applyFill="1" applyBorder="1" applyAlignment="1">
      <alignment horizontal="center" vertical="center" wrapText="1"/>
    </xf>
    <xf numFmtId="0" fontId="37" fillId="23" borderId="2" xfId="8" applyFont="1" applyFill="1" applyBorder="1" applyAlignment="1">
      <alignment horizontal="center"/>
    </xf>
    <xf numFmtId="0" fontId="37" fillId="23" borderId="3" xfId="8" applyFont="1" applyFill="1" applyBorder="1" applyAlignment="1">
      <alignment horizontal="center"/>
    </xf>
    <xf numFmtId="0" fontId="37" fillId="23" borderId="8" xfId="8" applyFont="1" applyFill="1" applyBorder="1" applyAlignment="1">
      <alignment horizontal="center"/>
    </xf>
    <xf numFmtId="164" fontId="16" fillId="20" borderId="13" xfId="3" applyNumberFormat="1" applyFont="1" applyFill="1" applyBorder="1" applyAlignment="1">
      <alignment horizontal="center" vertical="center"/>
    </xf>
    <xf numFmtId="164" fontId="16" fillId="20" borderId="0" xfId="3" applyNumberFormat="1" applyFont="1" applyFill="1" applyBorder="1" applyAlignment="1">
      <alignment horizontal="center" vertical="center"/>
    </xf>
    <xf numFmtId="0" fontId="29" fillId="14" borderId="2" xfId="0" applyFont="1" applyFill="1" applyBorder="1" applyAlignment="1">
      <alignment horizontal="center" wrapText="1"/>
    </xf>
    <xf numFmtId="0" fontId="29" fillId="14" borderId="36" xfId="0" applyFont="1" applyFill="1" applyBorder="1" applyAlignment="1">
      <alignment horizontal="center" wrapText="1"/>
    </xf>
    <xf numFmtId="0" fontId="4" fillId="23" borderId="2" xfId="7" applyFont="1" applyFill="1" applyBorder="1" applyAlignment="1">
      <alignment horizontal="center"/>
    </xf>
    <xf numFmtId="0" fontId="4" fillId="23" borderId="3" xfId="7" applyFont="1" applyFill="1" applyBorder="1" applyAlignment="1">
      <alignment horizontal="center"/>
    </xf>
    <xf numFmtId="0" fontId="4" fillId="23" borderId="36" xfId="7" applyFont="1" applyFill="1" applyBorder="1" applyAlignment="1">
      <alignment horizontal="center"/>
    </xf>
    <xf numFmtId="166" fontId="43" fillId="13" borderId="2" xfId="3" applyNumberFormat="1" applyFont="1" applyFill="1" applyBorder="1" applyAlignment="1">
      <alignment horizontal="center" vertical="center" wrapText="1"/>
    </xf>
    <xf numFmtId="166" fontId="43" fillId="13" borderId="3" xfId="3" applyNumberFormat="1" applyFont="1" applyFill="1" applyBorder="1" applyAlignment="1">
      <alignment horizontal="center" vertical="center" wrapText="1"/>
    </xf>
    <xf numFmtId="0" fontId="4" fillId="17" borderId="2" xfId="0" applyFont="1" applyFill="1" applyBorder="1" applyAlignment="1">
      <alignment horizontal="center" vertical="center" wrapText="1"/>
    </xf>
    <xf numFmtId="0" fontId="4" fillId="17" borderId="4" xfId="0" applyFont="1" applyFill="1" applyBorder="1" applyAlignment="1">
      <alignment horizontal="center" vertical="center" wrapText="1"/>
    </xf>
    <xf numFmtId="0" fontId="29" fillId="14" borderId="3" xfId="0" applyFont="1" applyFill="1" applyBorder="1" applyAlignment="1">
      <alignment horizontal="center" wrapText="1"/>
    </xf>
    <xf numFmtId="166" fontId="43" fillId="13" borderId="2" xfId="3" applyNumberFormat="1" applyFont="1" applyFill="1" applyBorder="1" applyAlignment="1">
      <alignment horizontal="center" vertical="center"/>
    </xf>
    <xf numFmtId="166" fontId="43" fillId="13" borderId="3" xfId="3" applyNumberFormat="1" applyFont="1" applyFill="1" applyBorder="1" applyAlignment="1">
      <alignment horizontal="center" vertical="center"/>
    </xf>
    <xf numFmtId="166" fontId="44" fillId="13" borderId="2" xfId="3" applyNumberFormat="1" applyFont="1" applyFill="1" applyBorder="1" applyAlignment="1">
      <alignment horizontal="center" vertical="center"/>
    </xf>
    <xf numFmtId="166" fontId="44" fillId="13" borderId="3" xfId="3" applyNumberFormat="1" applyFont="1" applyFill="1" applyBorder="1" applyAlignment="1">
      <alignment horizontal="center" vertical="center"/>
    </xf>
    <xf numFmtId="166" fontId="43" fillId="13" borderId="4" xfId="3" applyNumberFormat="1" applyFont="1" applyFill="1" applyBorder="1" applyAlignment="1">
      <alignment horizontal="center" vertical="center"/>
    </xf>
    <xf numFmtId="0" fontId="22" fillId="0" borderId="24" xfId="0" applyFont="1" applyBorder="1" applyAlignment="1">
      <alignment horizontal="center" vertical="center"/>
    </xf>
    <xf numFmtId="0" fontId="22" fillId="0" borderId="25" xfId="0" applyFont="1" applyBorder="1" applyAlignment="1">
      <alignment horizontal="center" vertical="center"/>
    </xf>
    <xf numFmtId="0" fontId="22" fillId="0" borderId="26" xfId="0" applyFont="1" applyBorder="1" applyAlignment="1">
      <alignment horizontal="center" vertical="center"/>
    </xf>
    <xf numFmtId="0" fontId="37" fillId="23" borderId="9" xfId="8" applyFont="1" applyFill="1" applyBorder="1" applyAlignment="1">
      <alignment horizontal="center"/>
    </xf>
    <xf numFmtId="0" fontId="37" fillId="23" borderId="4" xfId="8" applyFont="1" applyFill="1" applyBorder="1" applyAlignment="1">
      <alignment horizontal="center"/>
    </xf>
  </cellXfs>
  <cellStyles count="11">
    <cellStyle name="Awaiting Timeslot" xfId="1" xr:uid="{00000000-0005-0000-0000-000000000000}"/>
    <cellStyle name="Internals" xfId="2" xr:uid="{00000000-0005-0000-0000-000001000000}"/>
    <cellStyle name="Normal" xfId="0" builtinId="0"/>
    <cellStyle name="Normal 2" xfId="3" xr:uid="{00000000-0005-0000-0000-000003000000}"/>
    <cellStyle name="Not Released" xfId="4" xr:uid="{00000000-0005-0000-0000-000004000000}"/>
    <cellStyle name="Note 2" xfId="5" xr:uid="{00000000-0005-0000-0000-000005000000}"/>
    <cellStyle name="Pallets" xfId="6" xr:uid="{00000000-0005-0000-0000-000006000000}"/>
    <cellStyle name="PGI'd" xfId="7" xr:uid="{00000000-0005-0000-0000-000007000000}"/>
    <cellStyle name="Released" xfId="8" xr:uid="{00000000-0005-0000-0000-000008000000}"/>
    <cellStyle name="Shipment St" xfId="9" xr:uid="{00000000-0005-0000-0000-000009000000}"/>
    <cellStyle name="Still to Book" xfId="10" xr:uid="{00000000-0005-0000-0000-00000A000000}"/>
  </cellStyles>
  <dxfs count="258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6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00"/>
      </font>
      <fill>
        <patternFill>
          <bgColor theme="3" tint="-0.24994659260841701"/>
        </patternFill>
      </fill>
    </dxf>
    <dxf>
      <font>
        <color rgb="FF9C0006"/>
      </font>
      <fill>
        <patternFill>
          <bgColor rgb="FFFFFF00"/>
        </patternFill>
      </fill>
    </dxf>
    <dxf>
      <font>
        <strike/>
      </font>
      <fill>
        <patternFill>
          <bgColor rgb="FFFF0000"/>
        </patternFill>
      </fill>
    </dxf>
    <dxf>
      <font>
        <color rgb="FFFFFF00"/>
      </font>
      <fill>
        <patternFill>
          <bgColor theme="3" tint="-0.24994659260841701"/>
        </patternFill>
      </fill>
    </dxf>
    <dxf>
      <font>
        <color rgb="FF9C0006"/>
      </font>
      <fill>
        <patternFill>
          <bgColor rgb="FFFFFF0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00"/>
      </font>
      <fill>
        <patternFill>
          <bgColor theme="3" tint="-0.24994659260841701"/>
        </patternFill>
      </fill>
    </dxf>
    <dxf>
      <font>
        <color rgb="FF9C0006"/>
      </font>
      <fill>
        <patternFill>
          <bgColor rgb="FFFFFF00"/>
        </patternFill>
      </fill>
    </dxf>
    <dxf>
      <font>
        <strike/>
      </font>
      <fill>
        <patternFill>
          <bgColor rgb="FFFF0000"/>
        </patternFill>
      </fill>
    </dxf>
    <dxf>
      <font>
        <color rgb="FFFFFF00"/>
      </font>
      <fill>
        <patternFill>
          <bgColor theme="3" tint="-0.24994659260841701"/>
        </patternFill>
      </fill>
    </dxf>
    <dxf>
      <font>
        <color rgb="FF9C0006"/>
      </font>
      <fill>
        <patternFill>
          <bgColor rgb="FFFFFF0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00"/>
      </font>
      <fill>
        <patternFill>
          <bgColor theme="3" tint="-0.24994659260841701"/>
        </patternFill>
      </fill>
    </dxf>
    <dxf>
      <font>
        <color rgb="FF9C0006"/>
      </font>
      <fill>
        <patternFill>
          <bgColor rgb="FFFFFF00"/>
        </patternFill>
      </fill>
    </dxf>
    <dxf>
      <font>
        <strike/>
      </font>
      <fill>
        <patternFill>
          <bgColor rgb="FFFF0000"/>
        </patternFill>
      </fill>
    </dxf>
    <dxf>
      <font>
        <color rgb="FFFFFF00"/>
      </font>
      <fill>
        <patternFill>
          <bgColor theme="3" tint="-0.24994659260841701"/>
        </patternFill>
      </fill>
    </dxf>
    <dxf>
      <font>
        <color rgb="FF9C0006"/>
      </font>
      <fill>
        <patternFill>
          <bgColor rgb="FFFFFF0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00"/>
      </font>
      <fill>
        <patternFill>
          <bgColor theme="3" tint="-0.24994659260841701"/>
        </patternFill>
      </fill>
    </dxf>
    <dxf>
      <font>
        <color rgb="FF9C0006"/>
      </font>
      <fill>
        <patternFill>
          <bgColor rgb="FFFFFF00"/>
        </patternFill>
      </fill>
    </dxf>
    <dxf>
      <font>
        <strike/>
      </font>
      <fill>
        <patternFill>
          <bgColor rgb="FFFF0000"/>
        </patternFill>
      </fill>
    </dxf>
    <dxf>
      <font>
        <color rgb="FFFFFF00"/>
      </font>
      <fill>
        <patternFill>
          <bgColor theme="3" tint="-0.24994659260841701"/>
        </patternFill>
      </fill>
    </dxf>
    <dxf>
      <font>
        <color rgb="FF9C0006"/>
      </font>
      <fill>
        <patternFill>
          <bgColor rgb="FFFFFF0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00"/>
      </font>
      <fill>
        <patternFill>
          <bgColor theme="3" tint="-0.24994659260841701"/>
        </patternFill>
      </fill>
    </dxf>
    <dxf>
      <font>
        <color rgb="FF9C0006"/>
      </font>
      <fill>
        <patternFill>
          <bgColor rgb="FFFFFF00"/>
        </patternFill>
      </fill>
    </dxf>
    <dxf>
      <font>
        <strike/>
      </font>
      <fill>
        <patternFill>
          <bgColor rgb="FFFF0000"/>
        </patternFill>
      </fill>
    </dxf>
    <dxf>
      <font>
        <color rgb="FFFFFF00"/>
      </font>
      <fill>
        <patternFill>
          <bgColor theme="3"/>
        </patternFill>
      </fill>
    </dxf>
    <dxf>
      <font>
        <color rgb="FF9C0006"/>
      </font>
      <fill>
        <patternFill>
          <bgColor rgb="FFFFFF0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</dxf>
    <dxf>
      <font>
        <color rgb="FFFFFF00"/>
      </font>
      <fill>
        <patternFill>
          <bgColor theme="3"/>
        </patternFill>
      </fill>
    </dxf>
    <dxf>
      <font>
        <color auto="1"/>
      </font>
      <fill>
        <patternFill>
          <bgColor rgb="FFFFFF0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colors>
    <mruColors>
      <color rgb="FFA8E6B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13607</xdr:colOff>
      <xdr:row>1</xdr:row>
      <xdr:rowOff>40821</xdr:rowOff>
    </xdr:from>
    <xdr:to>
      <xdr:col>4</xdr:col>
      <xdr:colOff>12700</xdr:colOff>
      <xdr:row>3</xdr:row>
      <xdr:rowOff>836840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72143" y="217714"/>
          <a:ext cx="7251700" cy="1408340"/>
        </a:xfrm>
        <a:prstGeom prst="rect">
          <a:avLst/>
        </a:prstGeom>
        <a:ln w="28575">
          <a:solidFill>
            <a:sysClr val="windowText" lastClr="000000"/>
          </a:solidFill>
        </a:ln>
        <a:effectLst/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endParaRPr lang="en-AU"/>
        </a:p>
      </xdr:txBody>
    </xdr:sp>
    <xdr:clientData/>
  </xdr:twoCellAnchor>
  <xdr:twoCellAnchor>
    <xdr:from>
      <xdr:col>1</xdr:col>
      <xdr:colOff>210910</xdr:colOff>
      <xdr:row>1</xdr:row>
      <xdr:rowOff>136072</xdr:rowOff>
    </xdr:from>
    <xdr:to>
      <xdr:col>2</xdr:col>
      <xdr:colOff>353786</xdr:colOff>
      <xdr:row>3</xdr:row>
      <xdr:rowOff>802822</xdr:rowOff>
    </xdr:to>
    <xdr:pic>
      <xdr:nvPicPr>
        <xdr:cNvPr id="2050" name="Picture 1" descr="linfox-logoweb">
          <a:extLst>
            <a:ext uri="{FF2B5EF4-FFF2-40B4-BE49-F238E27FC236}">
              <a16:creationId xmlns:a16="http://schemas.microsoft.com/office/drawing/2014/main" id="{00000000-0008-0000-0000-000002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446" y="312965"/>
          <a:ext cx="2347233" cy="12790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857250</xdr:colOff>
      <xdr:row>1</xdr:row>
      <xdr:rowOff>95250</xdr:rowOff>
    </xdr:from>
    <xdr:to>
      <xdr:col>3</xdr:col>
      <xdr:colOff>3687535</xdr:colOff>
      <xdr:row>3</xdr:row>
      <xdr:rowOff>789215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/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85607" y="272143"/>
          <a:ext cx="2830285" cy="1306286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2898912</xdr:colOff>
      <xdr:row>1</xdr:row>
      <xdr:rowOff>76200</xdr:rowOff>
    </xdr:from>
    <xdr:to>
      <xdr:col>7</xdr:col>
      <xdr:colOff>1251500</xdr:colOff>
      <xdr:row>1</xdr:row>
      <xdr:rowOff>790575</xdr:rowOff>
    </xdr:to>
    <xdr:pic>
      <xdr:nvPicPr>
        <xdr:cNvPr id="2" name="Picture 1" descr="linfox-logoweb">
          <a:extLst>
            <a:ext uri="{FF2B5EF4-FFF2-40B4-BE49-F238E27FC236}">
              <a16:creationId xmlns:a16="http://schemas.microsoft.com/office/drawing/2014/main" id="{00000000-0008-0000-0100-000002000000}"/>
            </a:ext>
            <a:ext uri="{147F2762-F138-4A5C-976F-8EAC2B608ADB}">
              <a16:predDERef xmlns:a16="http://schemas.microsoft.com/office/drawing/2014/main" pred="{827B5315-DAF2-DB4B-A8B4-D7289EB1055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08673" y="540026"/>
          <a:ext cx="1276349" cy="7143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161926</xdr:colOff>
      <xdr:row>1</xdr:row>
      <xdr:rowOff>28576</xdr:rowOff>
    </xdr:from>
    <xdr:to>
      <xdr:col>3</xdr:col>
      <xdr:colOff>457201</xdr:colOff>
      <xdr:row>1</xdr:row>
      <xdr:rowOff>809626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/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6" y="495301"/>
          <a:ext cx="1733550" cy="781050"/>
        </a:xfrm>
        <a:prstGeom prst="rect">
          <a:avLst/>
        </a:prstGeom>
        <a:noFill/>
        <a:ln>
          <a:noFill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</xdr:row>
          <xdr:rowOff>504825</xdr:rowOff>
        </xdr:from>
        <xdr:to>
          <xdr:col>14</xdr:col>
          <xdr:colOff>0</xdr:colOff>
          <xdr:row>2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 Cover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22</xdr:row>
          <xdr:rowOff>0</xdr:rowOff>
        </xdr:from>
        <xdr:to>
          <xdr:col>11</xdr:col>
          <xdr:colOff>0</xdr:colOff>
          <xdr:row>23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Bill Of Lading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6</xdr:row>
          <xdr:rowOff>9525</xdr:rowOff>
        </xdr:from>
        <xdr:to>
          <xdr:col>11</xdr:col>
          <xdr:colOff>1114425</xdr:colOff>
          <xdr:row>7</xdr:row>
          <xdr:rowOff>123825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Ship Pickup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24</xdr:row>
          <xdr:rowOff>0</xdr:rowOff>
        </xdr:from>
        <xdr:to>
          <xdr:col>11</xdr:col>
          <xdr:colOff>0</xdr:colOff>
          <xdr:row>25</xdr:row>
          <xdr:rowOff>95250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SHIP BLUESTAR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22</xdr:row>
          <xdr:rowOff>0</xdr:rowOff>
        </xdr:from>
        <xdr:to>
          <xdr:col>12</xdr:col>
          <xdr:colOff>0</xdr:colOff>
          <xdr:row>23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Delivery List</a:t>
              </a:r>
            </a:p>
            <a:p>
              <a:pPr algn="ctr" rtl="0">
                <a:defRPr sz="1000"/>
              </a:pPr>
              <a:endParaRPr lang="en-AU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2505075</xdr:colOff>
      <xdr:row>1</xdr:row>
      <xdr:rowOff>76200</xdr:rowOff>
    </xdr:from>
    <xdr:to>
      <xdr:col>7</xdr:col>
      <xdr:colOff>2743199</xdr:colOff>
      <xdr:row>1</xdr:row>
      <xdr:rowOff>790575</xdr:rowOff>
    </xdr:to>
    <xdr:pic>
      <xdr:nvPicPr>
        <xdr:cNvPr id="3" name="Picture 1" descr="linfox-logoweb">
          <a:extLst>
            <a:ext uri="{FF2B5EF4-FFF2-40B4-BE49-F238E27FC236}">
              <a16:creationId xmlns:a16="http://schemas.microsoft.com/office/drawing/2014/main" id="{00000000-0008-0000-0200-000003000000}"/>
            </a:ext>
            <a:ext uri="{147F2762-F138-4A5C-976F-8EAC2B608ADB}">
              <a16:predDERef xmlns:a16="http://schemas.microsoft.com/office/drawing/2014/main" pred="{827B5315-DAF2-DB4B-A8B4-D7289EB1055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10500" y="542925"/>
          <a:ext cx="2819399" cy="7143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342900</xdr:colOff>
      <xdr:row>1</xdr:row>
      <xdr:rowOff>19050</xdr:rowOff>
    </xdr:from>
    <xdr:to>
      <xdr:col>3</xdr:col>
      <xdr:colOff>638175</xdr:colOff>
      <xdr:row>1</xdr:row>
      <xdr:rowOff>800100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/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2900" y="485775"/>
          <a:ext cx="1733550" cy="781050"/>
        </a:xfrm>
        <a:prstGeom prst="rect">
          <a:avLst/>
        </a:prstGeom>
        <a:noFill/>
        <a:ln>
          <a:noFill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</xdr:row>
          <xdr:rowOff>523875</xdr:rowOff>
        </xdr:from>
        <xdr:to>
          <xdr:col>14</xdr:col>
          <xdr:colOff>0</xdr:colOff>
          <xdr:row>2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 Cover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22</xdr:row>
          <xdr:rowOff>0</xdr:rowOff>
        </xdr:from>
        <xdr:to>
          <xdr:col>11</xdr:col>
          <xdr:colOff>0</xdr:colOff>
          <xdr:row>23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Bill Of Lading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6</xdr:row>
          <xdr:rowOff>9525</xdr:rowOff>
        </xdr:from>
        <xdr:to>
          <xdr:col>11</xdr:col>
          <xdr:colOff>1495425</xdr:colOff>
          <xdr:row>7</xdr:row>
          <xdr:rowOff>133350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Ship Pickup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24</xdr:row>
          <xdr:rowOff>9525</xdr:rowOff>
        </xdr:from>
        <xdr:to>
          <xdr:col>10</xdr:col>
          <xdr:colOff>1200150</xdr:colOff>
          <xdr:row>25</xdr:row>
          <xdr:rowOff>104775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SHIP BLUESTAR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22</xdr:row>
          <xdr:rowOff>0</xdr:rowOff>
        </xdr:from>
        <xdr:to>
          <xdr:col>12</xdr:col>
          <xdr:colOff>0</xdr:colOff>
          <xdr:row>23</xdr:row>
          <xdr:rowOff>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Delivery List</a:t>
              </a:r>
            </a:p>
            <a:p>
              <a:pPr algn="ctr" rtl="0">
                <a:defRPr sz="1000"/>
              </a:pPr>
              <a:endParaRPr lang="en-AU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2505075</xdr:colOff>
      <xdr:row>1</xdr:row>
      <xdr:rowOff>76200</xdr:rowOff>
    </xdr:from>
    <xdr:to>
      <xdr:col>7</xdr:col>
      <xdr:colOff>2743199</xdr:colOff>
      <xdr:row>1</xdr:row>
      <xdr:rowOff>790575</xdr:rowOff>
    </xdr:to>
    <xdr:pic>
      <xdr:nvPicPr>
        <xdr:cNvPr id="2" name="Picture 1" descr="linfox-logoweb">
          <a:extLst>
            <a:ext uri="{FF2B5EF4-FFF2-40B4-BE49-F238E27FC236}">
              <a16:creationId xmlns:a16="http://schemas.microsoft.com/office/drawing/2014/main" id="{00000000-0008-0000-0300-000002000000}"/>
            </a:ext>
            <a:ext uri="{147F2762-F138-4A5C-976F-8EAC2B608ADB}">
              <a16:predDERef xmlns:a16="http://schemas.microsoft.com/office/drawing/2014/main" pred="{827B5315-DAF2-DB4B-A8B4-D7289EB1055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67650" y="542925"/>
          <a:ext cx="2705099" cy="7143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314325</xdr:colOff>
      <xdr:row>1</xdr:row>
      <xdr:rowOff>28575</xdr:rowOff>
    </xdr:from>
    <xdr:to>
      <xdr:col>3</xdr:col>
      <xdr:colOff>609600</xdr:colOff>
      <xdr:row>1</xdr:row>
      <xdr:rowOff>809625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/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4325" y="495300"/>
          <a:ext cx="1733550" cy="781050"/>
        </a:xfrm>
        <a:prstGeom prst="rect">
          <a:avLst/>
        </a:prstGeom>
        <a:noFill/>
        <a:ln>
          <a:noFill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</xdr:row>
          <xdr:rowOff>504825</xdr:rowOff>
        </xdr:from>
        <xdr:to>
          <xdr:col>14</xdr:col>
          <xdr:colOff>0</xdr:colOff>
          <xdr:row>2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 Cover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2438400</xdr:colOff>
          <xdr:row>22</xdr:row>
          <xdr:rowOff>0</xdr:rowOff>
        </xdr:from>
        <xdr:to>
          <xdr:col>10</xdr:col>
          <xdr:colOff>1247775</xdr:colOff>
          <xdr:row>23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Bill Of Lading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6</xdr:row>
          <xdr:rowOff>9525</xdr:rowOff>
        </xdr:from>
        <xdr:to>
          <xdr:col>11</xdr:col>
          <xdr:colOff>1352550</xdr:colOff>
          <xdr:row>7</xdr:row>
          <xdr:rowOff>123825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Ship Pickup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2438400</xdr:colOff>
          <xdr:row>24</xdr:row>
          <xdr:rowOff>0</xdr:rowOff>
        </xdr:from>
        <xdr:to>
          <xdr:col>10</xdr:col>
          <xdr:colOff>1247775</xdr:colOff>
          <xdr:row>25</xdr:row>
          <xdr:rowOff>95250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3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SHIP BLUESTAR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1247775</xdr:colOff>
          <xdr:row>22</xdr:row>
          <xdr:rowOff>0</xdr:rowOff>
        </xdr:from>
        <xdr:to>
          <xdr:col>11</xdr:col>
          <xdr:colOff>1362075</xdr:colOff>
          <xdr:row>23</xdr:row>
          <xdr:rowOff>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Delivery List</a:t>
              </a:r>
            </a:p>
            <a:p>
              <a:pPr algn="ctr" rtl="0">
                <a:defRPr sz="1000"/>
              </a:pPr>
              <a:endParaRPr lang="en-AU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2505075</xdr:colOff>
      <xdr:row>1</xdr:row>
      <xdr:rowOff>76200</xdr:rowOff>
    </xdr:from>
    <xdr:to>
      <xdr:col>7</xdr:col>
      <xdr:colOff>2743199</xdr:colOff>
      <xdr:row>1</xdr:row>
      <xdr:rowOff>790575</xdr:rowOff>
    </xdr:to>
    <xdr:pic>
      <xdr:nvPicPr>
        <xdr:cNvPr id="2" name="Picture 1" descr="linfox-logoweb">
          <a:extLst>
            <a:ext uri="{FF2B5EF4-FFF2-40B4-BE49-F238E27FC236}">
              <a16:creationId xmlns:a16="http://schemas.microsoft.com/office/drawing/2014/main" id="{00000000-0008-0000-0400-000002000000}"/>
            </a:ext>
            <a:ext uri="{147F2762-F138-4A5C-976F-8EAC2B608ADB}">
              <a16:predDERef xmlns:a16="http://schemas.microsoft.com/office/drawing/2014/main" pred="{827B5315-DAF2-DB4B-A8B4-D7289EB1055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67650" y="542925"/>
          <a:ext cx="2705099" cy="7143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219075</xdr:colOff>
      <xdr:row>1</xdr:row>
      <xdr:rowOff>19050</xdr:rowOff>
    </xdr:from>
    <xdr:to>
      <xdr:col>3</xdr:col>
      <xdr:colOff>514350</xdr:colOff>
      <xdr:row>1</xdr:row>
      <xdr:rowOff>800100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/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8125" y="485775"/>
          <a:ext cx="1733550" cy="781050"/>
        </a:xfrm>
        <a:prstGeom prst="rect">
          <a:avLst/>
        </a:prstGeom>
        <a:noFill/>
        <a:ln>
          <a:noFill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</xdr:row>
          <xdr:rowOff>504825</xdr:rowOff>
        </xdr:from>
        <xdr:to>
          <xdr:col>14</xdr:col>
          <xdr:colOff>0</xdr:colOff>
          <xdr:row>2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 Cover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22</xdr:row>
          <xdr:rowOff>0</xdr:rowOff>
        </xdr:from>
        <xdr:to>
          <xdr:col>11</xdr:col>
          <xdr:colOff>0</xdr:colOff>
          <xdr:row>23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Bill Of Lading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6</xdr:row>
          <xdr:rowOff>9525</xdr:rowOff>
        </xdr:from>
        <xdr:to>
          <xdr:col>11</xdr:col>
          <xdr:colOff>1485900</xdr:colOff>
          <xdr:row>7</xdr:row>
          <xdr:rowOff>123825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Ship Pickup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24</xdr:row>
          <xdr:rowOff>0</xdr:rowOff>
        </xdr:from>
        <xdr:to>
          <xdr:col>11</xdr:col>
          <xdr:colOff>0</xdr:colOff>
          <xdr:row>25</xdr:row>
          <xdr:rowOff>95250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SHIP BLUESTAR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1276350</xdr:colOff>
          <xdr:row>22</xdr:row>
          <xdr:rowOff>0</xdr:rowOff>
        </xdr:from>
        <xdr:to>
          <xdr:col>11</xdr:col>
          <xdr:colOff>1495425</xdr:colOff>
          <xdr:row>23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Delivery List</a:t>
              </a:r>
            </a:p>
            <a:p>
              <a:pPr algn="ctr" rtl="0">
                <a:defRPr sz="1000"/>
              </a:pPr>
              <a:endParaRPr lang="en-AU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2505075</xdr:colOff>
      <xdr:row>1</xdr:row>
      <xdr:rowOff>76200</xdr:rowOff>
    </xdr:from>
    <xdr:to>
      <xdr:col>7</xdr:col>
      <xdr:colOff>2743199</xdr:colOff>
      <xdr:row>1</xdr:row>
      <xdr:rowOff>790575</xdr:rowOff>
    </xdr:to>
    <xdr:pic>
      <xdr:nvPicPr>
        <xdr:cNvPr id="2" name="Picture 1" descr="linfox-logoweb">
          <a:extLst>
            <a:ext uri="{FF2B5EF4-FFF2-40B4-BE49-F238E27FC236}">
              <a16:creationId xmlns:a16="http://schemas.microsoft.com/office/drawing/2014/main" id="{00000000-0008-0000-0500-000002000000}"/>
            </a:ext>
            <a:ext uri="{147F2762-F138-4A5C-976F-8EAC2B608ADB}">
              <a16:predDERef xmlns:a16="http://schemas.microsoft.com/office/drawing/2014/main" pred="{827B5315-DAF2-DB4B-A8B4-D7289EB1055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67650" y="542925"/>
          <a:ext cx="2705099" cy="7143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219075</xdr:colOff>
      <xdr:row>1</xdr:row>
      <xdr:rowOff>28575</xdr:rowOff>
    </xdr:from>
    <xdr:to>
      <xdr:col>3</xdr:col>
      <xdr:colOff>514350</xdr:colOff>
      <xdr:row>1</xdr:row>
      <xdr:rowOff>809625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/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5" y="495300"/>
          <a:ext cx="1733550" cy="781050"/>
        </a:xfrm>
        <a:prstGeom prst="rect">
          <a:avLst/>
        </a:prstGeom>
        <a:noFill/>
        <a:ln>
          <a:noFill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</xdr:row>
          <xdr:rowOff>504825</xdr:rowOff>
        </xdr:from>
        <xdr:to>
          <xdr:col>14</xdr:col>
          <xdr:colOff>0</xdr:colOff>
          <xdr:row>2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 Cover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2000250</xdr:colOff>
          <xdr:row>22</xdr:row>
          <xdr:rowOff>0</xdr:rowOff>
        </xdr:from>
        <xdr:to>
          <xdr:col>10</xdr:col>
          <xdr:colOff>1228725</xdr:colOff>
          <xdr:row>23</xdr:row>
          <xdr:rowOff>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Bill Of Lading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6</xdr:row>
          <xdr:rowOff>0</xdr:rowOff>
        </xdr:from>
        <xdr:to>
          <xdr:col>12</xdr:col>
          <xdr:colOff>0</xdr:colOff>
          <xdr:row>8</xdr:row>
          <xdr:rowOff>9525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Ship Pickup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24</xdr:row>
          <xdr:rowOff>0</xdr:rowOff>
        </xdr:from>
        <xdr:to>
          <xdr:col>11</xdr:col>
          <xdr:colOff>0</xdr:colOff>
          <xdr:row>25</xdr:row>
          <xdr:rowOff>95250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5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SHIP BLUESTAR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1228725</xdr:colOff>
          <xdr:row>22</xdr:row>
          <xdr:rowOff>0</xdr:rowOff>
        </xdr:from>
        <xdr:to>
          <xdr:col>11</xdr:col>
          <xdr:colOff>1304925</xdr:colOff>
          <xdr:row>23</xdr:row>
          <xdr:rowOff>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5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Delivery List</a:t>
              </a:r>
            </a:p>
            <a:p>
              <a:pPr algn="ctr" rtl="0">
                <a:defRPr sz="1000"/>
              </a:pPr>
              <a:endParaRPr lang="en-AU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2505075</xdr:colOff>
      <xdr:row>1</xdr:row>
      <xdr:rowOff>76200</xdr:rowOff>
    </xdr:from>
    <xdr:to>
      <xdr:col>6</xdr:col>
      <xdr:colOff>2743199</xdr:colOff>
      <xdr:row>1</xdr:row>
      <xdr:rowOff>790575</xdr:rowOff>
    </xdr:to>
    <xdr:pic>
      <xdr:nvPicPr>
        <xdr:cNvPr id="2" name="Picture 1" descr="linfox-logoweb">
          <a:extLst>
            <a:ext uri="{FF2B5EF4-FFF2-40B4-BE49-F238E27FC236}">
              <a16:creationId xmlns:a16="http://schemas.microsoft.com/office/drawing/2014/main" id="{00000000-0008-0000-0600-000002000000}"/>
            </a:ext>
            <a:ext uri="{147F2762-F138-4A5C-976F-8EAC2B608ADB}">
              <a16:predDERef xmlns:a16="http://schemas.microsoft.com/office/drawing/2014/main" pred="{827B5315-DAF2-DB4B-A8B4-D7289EB1055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72400" y="542925"/>
          <a:ext cx="1371599" cy="7143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699467</xdr:colOff>
      <xdr:row>1</xdr:row>
      <xdr:rowOff>3727</xdr:rowOff>
    </xdr:from>
    <xdr:to>
      <xdr:col>2</xdr:col>
      <xdr:colOff>762829</xdr:colOff>
      <xdr:row>1</xdr:row>
      <xdr:rowOff>784777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/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8945" y="467553"/>
          <a:ext cx="1736449" cy="78105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3695700</xdr:colOff>
      <xdr:row>1</xdr:row>
      <xdr:rowOff>47625</xdr:rowOff>
    </xdr:from>
    <xdr:to>
      <xdr:col>3</xdr:col>
      <xdr:colOff>5743575</xdr:colOff>
      <xdr:row>1</xdr:row>
      <xdr:rowOff>1066800</xdr:rowOff>
    </xdr:to>
    <xdr:pic>
      <xdr:nvPicPr>
        <xdr:cNvPr id="4098" name="Picture 1" descr="linfox-logoweb">
          <a:extLst>
            <a:ext uri="{FF2B5EF4-FFF2-40B4-BE49-F238E27FC236}">
              <a16:creationId xmlns:a16="http://schemas.microsoft.com/office/drawing/2014/main" id="{00000000-0008-0000-0800-000002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01125" y="238125"/>
          <a:ext cx="2047875" cy="1019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6</xdr:col>
      <xdr:colOff>0</xdr:colOff>
      <xdr:row>1</xdr:row>
      <xdr:rowOff>47625</xdr:rowOff>
    </xdr:from>
    <xdr:to>
      <xdr:col>6</xdr:col>
      <xdr:colOff>0</xdr:colOff>
      <xdr:row>1</xdr:row>
      <xdr:rowOff>1066800</xdr:rowOff>
    </xdr:to>
    <xdr:pic>
      <xdr:nvPicPr>
        <xdr:cNvPr id="4099" name="Picture 1" descr="linfox-logoweb">
          <a:extLst>
            <a:ext uri="{FF2B5EF4-FFF2-40B4-BE49-F238E27FC236}">
              <a16:creationId xmlns:a16="http://schemas.microsoft.com/office/drawing/2014/main" id="{00000000-0008-0000-0800-000003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306675" y="238125"/>
          <a:ext cx="0" cy="1019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5.bin"/><Relationship Id="rId4" Type="http://schemas.openxmlformats.org/officeDocument/2006/relationships/printerSettings" Target="../printerSettings/printerSettings4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9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5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24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23.xml"/><Relationship Id="rId5" Type="http://schemas.openxmlformats.org/officeDocument/2006/relationships/ctrlProp" Target="../ctrlProps/ctrlProp22.xml"/><Relationship Id="rId4" Type="http://schemas.openxmlformats.org/officeDocument/2006/relationships/ctrlProp" Target="../ctrlProps/ctrlProp2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1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4.bin"/><Relationship Id="rId2" Type="http://schemas.openxmlformats.org/officeDocument/2006/relationships/printerSettings" Target="../printerSettings/printerSettings13.bin"/><Relationship Id="rId1" Type="http://schemas.openxmlformats.org/officeDocument/2006/relationships/printerSettings" Target="../printerSettings/printerSettings12.bin"/><Relationship Id="rId6" Type="http://schemas.openxmlformats.org/officeDocument/2006/relationships/drawing" Target="../drawings/drawing8.xml"/><Relationship Id="rId5" Type="http://schemas.openxmlformats.org/officeDocument/2006/relationships/printerSettings" Target="../printerSettings/printerSettings16.bin"/><Relationship Id="rId4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theme="3"/>
    <pageSetUpPr fitToPage="1"/>
  </sheetPr>
  <dimension ref="A1:K28"/>
  <sheetViews>
    <sheetView showRuler="0" zoomScale="70" zoomScaleNormal="70" workbookViewId="0">
      <selection activeCell="B9" sqref="B9:D9"/>
    </sheetView>
  </sheetViews>
  <sheetFormatPr defaultColWidth="9.140625" defaultRowHeight="12.75" x14ac:dyDescent="0.2"/>
  <cols>
    <col min="1" max="1" width="3.85546875" style="2" customWidth="1"/>
    <col min="2" max="2" width="33" style="2" bestFit="1" customWidth="1"/>
    <col min="3" max="3" width="19" style="2" customWidth="1"/>
    <col min="4" max="4" width="56.7109375" style="2" customWidth="1"/>
    <col min="5" max="5" width="6.28515625" style="2" customWidth="1"/>
    <col min="6" max="7" width="9.140625" style="2" customWidth="1"/>
    <col min="8" max="8" width="26.140625" style="2" customWidth="1"/>
    <col min="9" max="9" width="34" style="2" customWidth="1"/>
    <col min="10" max="10" width="11.85546875" style="2" customWidth="1"/>
    <col min="11" max="16384" width="9.140625" style="2"/>
  </cols>
  <sheetData>
    <row r="1" spans="1:8" ht="13.5" thickBot="1" x14ac:dyDescent="0.25"/>
    <row r="2" spans="1:8" x14ac:dyDescent="0.2">
      <c r="A2" s="2">
        <v>1</v>
      </c>
      <c r="B2" s="7"/>
      <c r="C2" s="8"/>
      <c r="D2" s="9"/>
    </row>
    <row r="3" spans="1:8" ht="35.25" customHeight="1" x14ac:dyDescent="0.2">
      <c r="B3" s="10"/>
      <c r="D3" s="11"/>
    </row>
    <row r="4" spans="1:8" ht="66.75" customHeight="1" thickBot="1" x14ac:dyDescent="0.75">
      <c r="B4" s="12"/>
      <c r="C4" s="13"/>
      <c r="D4" s="14"/>
    </row>
    <row r="5" spans="1:8" ht="45" customHeight="1" thickBot="1" x14ac:dyDescent="0.55000000000000004">
      <c r="B5" s="214" t="s">
        <v>12</v>
      </c>
      <c r="C5" s="39"/>
      <c r="D5" s="216"/>
      <c r="H5" s="139" t="s">
        <v>48</v>
      </c>
    </row>
    <row r="6" spans="1:8" ht="42" customHeight="1" x14ac:dyDescent="0.2">
      <c r="B6" s="215"/>
      <c r="C6" s="85"/>
      <c r="D6" s="217"/>
    </row>
    <row r="7" spans="1:8" ht="5.25" customHeight="1" thickBot="1" x14ac:dyDescent="0.4">
      <c r="B7" s="15"/>
      <c r="C7" s="16"/>
      <c r="D7" s="17"/>
    </row>
    <row r="8" spans="1:8" ht="29.25" customHeight="1" x14ac:dyDescent="0.6">
      <c r="B8" s="18" t="s">
        <v>6</v>
      </c>
      <c r="C8" s="19"/>
      <c r="D8" s="20"/>
    </row>
    <row r="9" spans="1:8" ht="231.75" customHeight="1" thickBot="1" x14ac:dyDescent="0.25">
      <c r="B9" s="224">
        <f>IFERROR(VLOOKUP($H$5,Monday!$B$5:$L$70,6,FALSE),IFERROR(VLOOKUP('Cover Sheet'!$H$5,Tuesday!$B$5:$M$70,6,FALSE),IFERROR(VLOOKUP('Cover Sheet'!$H$5,Wednesday!$B$5:$M$70,6,FALSE),IFERROR(VLOOKUP('Cover Sheet'!$H$5,Thursday!$B$5:$L$70,6,FALSE),IFERROR(VLOOKUP('Cover Sheet'!$H$5,Friday!$B$5:$L$70,6,FALSE),)))))</f>
        <v>0</v>
      </c>
      <c r="C9" s="225"/>
      <c r="D9" s="226"/>
    </row>
    <row r="10" spans="1:8" ht="65.25" customHeight="1" thickBot="1" x14ac:dyDescent="0.25">
      <c r="B10" s="234" t="str">
        <f>IFERROR(VLOOKUP($H$5,Monday!$B$5:$L$70,7,FALSE),IFERROR(VLOOKUP('Cover Sheet'!$H$5,Tuesday!$B$5:$M$70,7,FALSE),IFERROR(VLOOKUP('Cover Sheet'!$H$5,Wednesday!$B$5:$M$70,7,FALSE),IFERROR(VLOOKUP('Cover Sheet'!$H$5,Thursday!$B$5:$L$70,7,FALSE),IFERROR(VLOOKUP('Cover Sheet'!$H$5,Friday!$B$5:$L$70,7,FALSE),)))))</f>
        <v/>
      </c>
      <c r="C10" s="235"/>
      <c r="D10" s="236"/>
    </row>
    <row r="11" spans="1:8" ht="27" hidden="1" customHeight="1" thickBot="1" x14ac:dyDescent="0.25">
      <c r="B11" s="227"/>
      <c r="C11" s="228"/>
      <c r="D11" s="229"/>
    </row>
    <row r="12" spans="1:8" ht="44.25" hidden="1" customHeight="1" thickBot="1" x14ac:dyDescent="0.65">
      <c r="B12" s="21"/>
      <c r="C12" s="16"/>
      <c r="D12" s="22"/>
    </row>
    <row r="13" spans="1:8" ht="39.950000000000003" customHeight="1" x14ac:dyDescent="0.6">
      <c r="B13" s="18" t="s">
        <v>7</v>
      </c>
      <c r="C13" s="23"/>
      <c r="D13" s="138">
        <f>IFERROR(VLOOKUP($H$5,Monday!$B$5:$L$70,2,FALSE),IFERROR(VLOOKUP('Cover Sheet'!$H$5,Tuesday!$B$5:$M$70,2,FALSE),IFERROR(VLOOKUP('Cover Sheet'!$H$5,Wednesday!$B$5:$M$70,2,FALSE),IFERROR(VLOOKUP('Cover Sheet'!$H$5,Thursday!$B$5:$L$70,2,FALSE),IFERROR(VLOOKUP('Cover Sheet'!$H$5,Friday!$B$5:$L$70,2,FALSE),)))))</f>
        <v>43829</v>
      </c>
    </row>
    <row r="14" spans="1:8" ht="39.950000000000003" customHeight="1" x14ac:dyDescent="0.45">
      <c r="B14" s="114" t="s">
        <v>10</v>
      </c>
      <c r="C14" s="230">
        <f>IFERROR(VLOOKUP($H$5,Monday!$B$5:$L$70,3,FALSE),IFERROR(VLOOKUP('Cover Sheet'!$H$5,Tuesday!$B$5:$M$70,3,FALSE),IFERROR(VLOOKUP('Cover Sheet'!$H$5,Wednesday!$B$5:$M$70,3,FALSE),IFERROR(VLOOKUP('Cover Sheet'!$H$5,Thursday!$B$5:$L$70,3,FALSE),IFERROR(VLOOKUP('Cover Sheet'!$H$5,Friday!$B$5:$L$70,3,FALSE),)))))</f>
        <v>0</v>
      </c>
      <c r="D14" s="231"/>
    </row>
    <row r="15" spans="1:8" ht="6" customHeight="1" x14ac:dyDescent="0.6">
      <c r="B15" s="21"/>
      <c r="C15" s="16"/>
      <c r="D15" s="17"/>
    </row>
    <row r="16" spans="1:8" ht="39.950000000000003" hidden="1" customHeight="1" x14ac:dyDescent="0.6">
      <c r="B16" s="21" t="s">
        <v>8</v>
      </c>
      <c r="C16" s="232"/>
      <c r="D16" s="233"/>
    </row>
    <row r="17" spans="2:11" ht="6" customHeight="1" thickBot="1" x14ac:dyDescent="0.65">
      <c r="B17" s="21"/>
      <c r="C17" s="16"/>
      <c r="D17" s="17"/>
    </row>
    <row r="18" spans="2:11" ht="81" customHeight="1" thickBot="1" x14ac:dyDescent="0.25">
      <c r="B18" s="147" t="s">
        <v>456</v>
      </c>
      <c r="C18" s="143"/>
      <c r="D18" s="146">
        <f>IFERROR(VLOOKUP($H$5,Monday!$B$5:$L$70,4,FALSE),IFERROR(VLOOKUP('Cover Sheet'!$H$5,Tuesday!$B$5:$M$70,4,FALSE),IFERROR(VLOOKUP('Cover Sheet'!$H$5,Wednesday!$B$5:$M$70,4,FALSE),IFERROR(VLOOKUP('Cover Sheet'!$H$5,Thursday!$B$5:$L$70,4,FALSE),IFERROR(VLOOKUP('Cover Sheet'!$H$5,Friday!$B$5:$L$70,4,FALSE),)))))</f>
        <v>0</v>
      </c>
    </row>
    <row r="19" spans="2:11" ht="32.25" customHeight="1" thickBot="1" x14ac:dyDescent="0.55000000000000004">
      <c r="B19" s="144" t="s">
        <v>22</v>
      </c>
      <c r="C19" s="113"/>
      <c r="D19" s="145">
        <f>IFERROR(VLOOKUP(H5,Monday!$B$5:$L$70,5,FALSE),IFERROR(VLOOKUP('Cover Sheet'!H5,Tuesday!$B$5:$M$70,5,FALSE),IFERROR(VLOOKUP('Cover Sheet'!H5,Wednesday!$B$5:$M$70,5,FALSE),IFERROR(VLOOKUP('Cover Sheet'!H5,Thursday!$B$5:$L$70,5,FALSE),IFERROR(VLOOKUP('Cover Sheet'!H5,Friday!$B$5:$L$70,5,FALSE),)))))</f>
        <v>0</v>
      </c>
      <c r="E19" s="16"/>
      <c r="F19" s="16"/>
      <c r="G19" s="16"/>
      <c r="H19" s="16"/>
      <c r="I19" s="16"/>
    </row>
    <row r="20" spans="2:11" ht="6" hidden="1" customHeight="1" thickBot="1" x14ac:dyDescent="0.65">
      <c r="B20" s="21"/>
      <c r="C20" s="16"/>
      <c r="D20" s="17"/>
    </row>
    <row r="21" spans="2:11" ht="42.75" hidden="1" customHeight="1" thickBot="1" x14ac:dyDescent="0.65">
      <c r="B21" s="21"/>
      <c r="C21" s="38"/>
      <c r="D21" s="33" t="str">
        <f>IFERROR(VLOOKUP($H$5,Monday!$B$5:$L$70,10,FALSE),IFERROR(VLOOKUP('Cover Sheet'!$H$5,Tuesday!$B$5:$M$70,10,FALSE),IFERROR(VLOOKUP('Cover Sheet'!$H$5,Wednesday!$B$5:$M$70,10,FALSE),IFERROR(VLOOKUP('Cover Sheet'!$H$5,Thursday!$B$5:$L$70,10,FALSE),IFERROR(VLOOKUP('Cover Sheet'!$H$5,Friday!$B$5:$L$70,10,FALSE),)))))</f>
        <v>No. of packages</v>
      </c>
    </row>
    <row r="22" spans="2:11" ht="121.5" customHeight="1" thickBot="1" x14ac:dyDescent="0.25">
      <c r="B22" s="221">
        <f>D13</f>
        <v>43829</v>
      </c>
      <c r="C22" s="222"/>
      <c r="D22" s="223"/>
    </row>
    <row r="23" spans="2:11" ht="52.5" hidden="1" customHeight="1" thickBot="1" x14ac:dyDescent="0.25">
      <c r="B23" s="218"/>
      <c r="C23" s="219"/>
      <c r="D23" s="220"/>
    </row>
    <row r="24" spans="2:11" ht="73.5" customHeight="1" x14ac:dyDescent="0.2">
      <c r="B24" s="213" t="str">
        <f>IFERROR(VLOOKUP($H$5,Monday!$B$5:$L$70,9,FALSE),IFERROR(VLOOKUP('Cover Sheet'!$H$5,Tuesday!$B$5:$M$70,9,FALSE),IFERROR(VLOOKUP('Cover Sheet'!$H$5,Wednesday!$B$5:$M$70,9,FALSE),IFERROR(VLOOKUP('Cover Sheet'!$H$5,Thursday!$B$5:$L$70,9,FALSE),IFERROR(VLOOKUP('Cover Sheet'!$H$5,Friday!$B$5:$L$70,9,FALSE),)))))</f>
        <v/>
      </c>
      <c r="C24" s="213"/>
      <c r="D24" s="213"/>
      <c r="J24" s="72"/>
    </row>
    <row r="25" spans="2:11" x14ac:dyDescent="0.2">
      <c r="J25" s="72"/>
      <c r="K25" s="73"/>
    </row>
    <row r="26" spans="2:11" x14ac:dyDescent="0.2">
      <c r="J26" s="74"/>
    </row>
    <row r="27" spans="2:11" x14ac:dyDescent="0.2">
      <c r="J27" s="74"/>
      <c r="K27" s="74"/>
    </row>
    <row r="28" spans="2:11" x14ac:dyDescent="0.2">
      <c r="D28" s="84"/>
    </row>
  </sheetData>
  <customSheetViews>
    <customSheetView guid="{6CBF310A-A1BE-46B5-918C-2F2608E5F889}" scale="70" showPageBreaks="1" fitToPage="1" printArea="1" hiddenRows="1" showRuler="0">
      <selection activeCell="D6" sqref="D6"/>
      <pageMargins left="0.75" right="0.75" top="1" bottom="1" header="0.5" footer="0.5"/>
      <pageSetup paperSize="9" scale="85" orientation="portrait" r:id="rId1"/>
      <headerFooter alignWithMargins="0">
        <oddFooter>&amp;L&amp;Z&amp;F</oddFooter>
      </headerFooter>
    </customSheetView>
    <customSheetView guid="{932959AD-57BE-4F19-9A63-1790755BC301}" scale="70" showPageBreaks="1" fitToPage="1" printArea="1" hiddenRows="1" showRuler="0">
      <selection activeCell="B6" sqref="B6:D7"/>
      <pageMargins left="0.75" right="0.75" top="1" bottom="1" header="0.5" footer="0.5"/>
      <pageSetup paperSize="9" scale="85" orientation="portrait" r:id="rId2"/>
      <headerFooter alignWithMargins="0">
        <oddFooter>&amp;L&amp;Z&amp;F</oddFooter>
      </headerFooter>
    </customSheetView>
    <customSheetView guid="{369A686F-D18F-4ED2-99C4-317DC1AD7F50}" scale="70" fitToPage="1" hiddenRows="1" showRuler="0">
      <selection activeCell="D5" sqref="D5"/>
      <pageMargins left="0.75" right="0.75" top="1" bottom="1" header="0.5" footer="0.5"/>
      <pageSetup paperSize="9" scale="86" orientation="portrait" r:id="rId3"/>
      <headerFooter alignWithMargins="0">
        <oddFooter>&amp;L&amp;Z&amp;F</oddFooter>
      </headerFooter>
    </customSheetView>
    <customSheetView guid="{EF0ABB43-B993-46C7-99BE-573267E24723}" scale="70" showPageBreaks="1" fitToPage="1" printArea="1" hiddenRows="1" showRuler="0">
      <selection activeCell="D6" sqref="D6"/>
      <pageMargins left="0.75" right="0.75" top="1" bottom="1" header="0.5" footer="0.5"/>
      <pageSetup paperSize="9" scale="85" orientation="portrait" r:id="rId4"/>
      <headerFooter alignWithMargins="0">
        <oddFooter>&amp;L&amp;Z&amp;F</oddFooter>
      </headerFooter>
    </customSheetView>
  </customSheetViews>
  <mergeCells count="10">
    <mergeCell ref="B24:D24"/>
    <mergeCell ref="B5:B6"/>
    <mergeCell ref="D5:D6"/>
    <mergeCell ref="B23:D23"/>
    <mergeCell ref="B22:D22"/>
    <mergeCell ref="B9:D9"/>
    <mergeCell ref="B11:D11"/>
    <mergeCell ref="C14:D14"/>
    <mergeCell ref="C16:D16"/>
    <mergeCell ref="B10:D10"/>
  </mergeCells>
  <conditionalFormatting sqref="D21">
    <cfRule type="cellIs" dxfId="257" priority="7" operator="equal">
      <formula>"Y"</formula>
    </cfRule>
    <cfRule type="cellIs" dxfId="256" priority="10" operator="equal">
      <formula>0</formula>
    </cfRule>
  </conditionalFormatting>
  <conditionalFormatting sqref="B23:D23">
    <cfRule type="cellIs" dxfId="255" priority="4" operator="equal">
      <formula>"TBC"</formula>
    </cfRule>
    <cfRule type="cellIs" dxfId="254" priority="5" operator="equal">
      <formula>0</formula>
    </cfRule>
  </conditionalFormatting>
  <conditionalFormatting sqref="B10:D10">
    <cfRule type="cellIs" dxfId="253" priority="2" operator="equal">
      <formula>"Customer Pickup"</formula>
    </cfRule>
    <cfRule type="cellIs" dxfId="252" priority="3" operator="equal">
      <formula>"Bluestar Logistics"</formula>
    </cfRule>
  </conditionalFormatting>
  <conditionalFormatting sqref="B24:D24">
    <cfRule type="cellIs" dxfId="251" priority="1" operator="equal">
      <formula>0</formula>
    </cfRule>
  </conditionalFormatting>
  <pageMargins left="0.74803149606299213" right="0.74803149606299213" top="0.98425196850393704" bottom="0.98425196850393704" header="0.51181102362204722" footer="0.51181102362204722"/>
  <pageSetup paperSize="9" scale="77" orientation="portrait" r:id="rId5"/>
  <headerFooter alignWithMargins="0">
    <oddFooter>&amp;L&amp;Z&amp;F</oddFooter>
  </headerFooter>
  <drawing r:id="rId6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pageSetUpPr fitToPage="1"/>
  </sheetPr>
  <dimension ref="A1:Z106"/>
  <sheetViews>
    <sheetView tabSelected="1" topLeftCell="B1" zoomScaleNormal="100" zoomScaleSheetLayoutView="100" workbookViewId="0">
      <pane ySplit="5" topLeftCell="A6" activePane="bottomLeft" state="frozen"/>
      <selection activeCell="G31" sqref="G31"/>
      <selection pane="bottomLeft" activeCell="F22" sqref="F22"/>
    </sheetView>
  </sheetViews>
  <sheetFormatPr defaultRowHeight="15" x14ac:dyDescent="0.25"/>
  <cols>
    <col min="1" max="1" width="3.140625" hidden="1" customWidth="1"/>
    <col min="2" max="2" width="9.42578125" customWidth="1"/>
    <col min="3" max="3" width="12.140625" customWidth="1"/>
    <col min="4" max="4" width="12.85546875" customWidth="1"/>
    <col min="5" max="5" width="13.85546875" customWidth="1"/>
    <col min="6" max="6" width="16" customWidth="1"/>
    <col min="7" max="7" width="43.85546875" customWidth="1"/>
    <col min="8" max="8" width="19.140625" style="152" customWidth="1"/>
    <col min="9" max="9" width="11.85546875" customWidth="1"/>
    <col min="10" max="10" width="37.7109375" customWidth="1"/>
    <col min="11" max="11" width="18" customWidth="1"/>
    <col min="12" max="12" width="16.85546875" customWidth="1"/>
    <col min="13" max="13" width="14.140625" hidden="1" customWidth="1"/>
    <col min="14" max="14" width="19.5703125" customWidth="1"/>
    <col min="26" max="26" width="0" hidden="1" customWidth="1"/>
  </cols>
  <sheetData>
    <row r="1" spans="1:26" ht="36.75" customHeight="1" thickBot="1" x14ac:dyDescent="0.3">
      <c r="A1" s="1"/>
      <c r="B1" s="240" t="s">
        <v>452</v>
      </c>
      <c r="C1" s="240"/>
      <c r="D1" s="240"/>
      <c r="E1" s="240"/>
      <c r="F1" s="240"/>
      <c r="G1" s="240"/>
      <c r="H1" s="240"/>
      <c r="I1" s="241"/>
      <c r="J1" s="241"/>
      <c r="K1" s="241"/>
      <c r="L1" s="240"/>
    </row>
    <row r="2" spans="1:26" ht="66.75" customHeight="1" thickBot="1" x14ac:dyDescent="0.55000000000000004">
      <c r="A2" s="30"/>
      <c r="B2" s="5"/>
      <c r="C2" s="6"/>
      <c r="D2" s="58"/>
      <c r="E2" s="149" t="s">
        <v>11</v>
      </c>
      <c r="F2" s="6"/>
      <c r="G2" s="6"/>
      <c r="H2" s="153"/>
      <c r="I2" s="159" t="s">
        <v>23</v>
      </c>
      <c r="J2" s="157">
        <v>43835</v>
      </c>
      <c r="K2" s="247">
        <f>J2-6</f>
        <v>43829</v>
      </c>
      <c r="L2" s="248"/>
    </row>
    <row r="3" spans="1:26" ht="15.75" hidden="1" customHeight="1" thickBot="1" x14ac:dyDescent="0.3">
      <c r="A3" s="90"/>
      <c r="B3" s="91"/>
      <c r="C3" s="91"/>
      <c r="D3" s="92"/>
      <c r="E3" s="93"/>
      <c r="F3" s="93"/>
      <c r="G3" s="93"/>
      <c r="H3" s="154"/>
      <c r="I3" s="93"/>
      <c r="J3" s="93"/>
      <c r="K3" s="93"/>
      <c r="L3" s="93"/>
    </row>
    <row r="4" spans="1:26" ht="24" hidden="1" customHeight="1" thickBot="1" x14ac:dyDescent="0.4">
      <c r="A4" s="67"/>
      <c r="B4" s="63"/>
      <c r="C4" s="64"/>
      <c r="D4" s="65"/>
      <c r="E4" s="69"/>
      <c r="F4" s="70"/>
      <c r="G4" s="242"/>
      <c r="H4" s="243"/>
      <c r="I4" s="65"/>
      <c r="J4" s="65"/>
      <c r="K4" s="65"/>
      <c r="L4" s="65"/>
    </row>
    <row r="5" spans="1:26" ht="23.25" customHeight="1" thickBot="1" x14ac:dyDescent="0.3">
      <c r="A5" s="98"/>
      <c r="B5" s="99" t="s">
        <v>0</v>
      </c>
      <c r="C5" s="99" t="s">
        <v>1</v>
      </c>
      <c r="D5" s="99" t="s">
        <v>26</v>
      </c>
      <c r="E5" s="99" t="s">
        <v>2</v>
      </c>
      <c r="F5" s="99" t="s">
        <v>14</v>
      </c>
      <c r="G5" s="99" t="s">
        <v>455</v>
      </c>
      <c r="H5" s="99" t="s">
        <v>461</v>
      </c>
      <c r="I5" s="99" t="s">
        <v>21</v>
      </c>
      <c r="J5" s="166" t="s">
        <v>517</v>
      </c>
      <c r="K5" s="249" t="s">
        <v>522</v>
      </c>
      <c r="L5" s="250"/>
    </row>
    <row r="6" spans="1:26" ht="15.75" thickBot="1" x14ac:dyDescent="0.3">
      <c r="A6" s="160">
        <v>30</v>
      </c>
      <c r="B6" s="176"/>
      <c r="C6" s="177"/>
      <c r="D6" s="244" t="s">
        <v>518</v>
      </c>
      <c r="E6" s="245"/>
      <c r="F6" s="245"/>
      <c r="G6" s="245"/>
      <c r="H6" s="245"/>
      <c r="I6" s="245"/>
      <c r="J6" s="246"/>
      <c r="K6" s="178" t="s">
        <v>523</v>
      </c>
      <c r="L6" s="179"/>
      <c r="Z6" s="203">
        <v>3200543</v>
      </c>
    </row>
    <row r="7" spans="1:26" x14ac:dyDescent="0.25">
      <c r="A7" s="59">
        <v>1</v>
      </c>
      <c r="B7" s="116" t="s">
        <v>27</v>
      </c>
      <c r="C7" s="61">
        <f>J2-6</f>
        <v>43829</v>
      </c>
      <c r="D7" s="180"/>
      <c r="E7" s="180"/>
      <c r="F7" s="180"/>
      <c r="G7" s="180"/>
      <c r="H7" s="201" t="str">
        <f>IF(G7="","",(VLOOKUP(Z7,'Reference List'!$B$3:$D$173,2,FALSE)))</f>
        <v/>
      </c>
      <c r="I7" s="202" t="str">
        <f>IF(G7="","",(VLOOKUP(Z7,'Reference List'!$B$3:$F$202,5,FALSE)))</f>
        <v/>
      </c>
      <c r="J7" s="201"/>
      <c r="K7" s="180"/>
      <c r="L7" s="180"/>
      <c r="Z7" s="203">
        <v>3200543</v>
      </c>
    </row>
    <row r="8" spans="1:26" x14ac:dyDescent="0.25">
      <c r="A8" s="47">
        <v>2</v>
      </c>
      <c r="B8" s="116" t="s">
        <v>28</v>
      </c>
      <c r="C8" s="61">
        <f t="shared" ref="C8:C24" si="0">C7</f>
        <v>43829</v>
      </c>
      <c r="D8" s="180"/>
      <c r="E8" s="180"/>
      <c r="F8" s="180"/>
      <c r="G8" s="180"/>
      <c r="H8" s="201" t="str">
        <f>IF(G8="","",(VLOOKUP(Z8,'Reference List'!$B$3:$D$173,2,FALSE)))</f>
        <v/>
      </c>
      <c r="I8" s="202" t="str">
        <f>IF(G8="","",(VLOOKUP(Z8,'Reference List'!$B$3:$F$202,5,FALSE)))</f>
        <v/>
      </c>
      <c r="J8" s="199"/>
      <c r="K8" s="180"/>
      <c r="L8" s="180"/>
      <c r="Z8" s="203">
        <v>3200543</v>
      </c>
    </row>
    <row r="9" spans="1:26" x14ac:dyDescent="0.25">
      <c r="A9" s="59">
        <v>3</v>
      </c>
      <c r="B9" s="116" t="s">
        <v>29</v>
      </c>
      <c r="C9" s="61">
        <f t="shared" si="0"/>
        <v>43829</v>
      </c>
      <c r="D9" s="180"/>
      <c r="E9" s="180"/>
      <c r="F9" s="180"/>
      <c r="G9" s="196"/>
      <c r="H9" s="201" t="str">
        <f>IF(G9="","",(VLOOKUP(Z9,'Reference List'!$B$3:$D$173,2,FALSE)))</f>
        <v/>
      </c>
      <c r="I9" s="202" t="str">
        <f>IF(G9="","",(VLOOKUP(Z9,'Reference List'!$B$3:$F$202,5,FALSE)))</f>
        <v/>
      </c>
      <c r="J9" s="199"/>
      <c r="K9" s="180"/>
      <c r="L9" s="180"/>
      <c r="Z9" s="203">
        <v>3200543</v>
      </c>
    </row>
    <row r="10" spans="1:26" x14ac:dyDescent="0.25">
      <c r="A10" s="47">
        <v>4</v>
      </c>
      <c r="B10" s="116" t="s">
        <v>40</v>
      </c>
      <c r="C10" s="61">
        <f t="shared" si="0"/>
        <v>43829</v>
      </c>
      <c r="D10" s="180"/>
      <c r="E10" s="180"/>
      <c r="F10" s="180"/>
      <c r="G10" s="180"/>
      <c r="H10" s="201" t="str">
        <f>IF(G10="","",(VLOOKUP(Z10,'Reference List'!$B$3:$D$173,2,FALSE)))</f>
        <v/>
      </c>
      <c r="I10" s="202" t="str">
        <f>IF(G10="","",(VLOOKUP(Z10,'Reference List'!$B$3:$F$202,5,FALSE)))</f>
        <v/>
      </c>
      <c r="J10" s="199"/>
      <c r="K10" s="180"/>
      <c r="L10" s="180"/>
      <c r="Z10" s="203">
        <v>3200543</v>
      </c>
    </row>
    <row r="11" spans="1:26" x14ac:dyDescent="0.25">
      <c r="A11" s="59">
        <v>5</v>
      </c>
      <c r="B11" s="116" t="s">
        <v>41</v>
      </c>
      <c r="C11" s="61">
        <f t="shared" si="0"/>
        <v>43829</v>
      </c>
      <c r="D11" s="180"/>
      <c r="E11" s="180"/>
      <c r="F11" s="180"/>
      <c r="G11" s="180"/>
      <c r="H11" s="201" t="str">
        <f>IF(G11="","",(VLOOKUP(Z11,'Reference List'!$B$3:$D$173,2,FALSE)))</f>
        <v/>
      </c>
      <c r="I11" s="202" t="str">
        <f>IF(G11="","",(VLOOKUP(Z11,'Reference List'!$B$3:$F$202,5,FALSE)))</f>
        <v/>
      </c>
      <c r="J11" s="199"/>
      <c r="K11" s="180"/>
      <c r="L11" s="182"/>
      <c r="Z11" s="203">
        <v>3200543</v>
      </c>
    </row>
    <row r="12" spans="1:26" x14ac:dyDescent="0.25">
      <c r="A12" s="47">
        <v>6</v>
      </c>
      <c r="B12" s="116" t="s">
        <v>42</v>
      </c>
      <c r="C12" s="61">
        <f t="shared" si="0"/>
        <v>43829</v>
      </c>
      <c r="D12" s="180"/>
      <c r="E12" s="180"/>
      <c r="F12" s="180"/>
      <c r="G12" s="180"/>
      <c r="H12" s="201" t="str">
        <f>IF(G12="","",(VLOOKUP(Z12,'Reference List'!$B$3:$D$173,2,FALSE)))</f>
        <v/>
      </c>
      <c r="I12" s="202" t="str">
        <f>IF(G12="","",(VLOOKUP(Z12,'Reference List'!$B$3:$F$202,5,FALSE)))</f>
        <v/>
      </c>
      <c r="J12" s="199"/>
      <c r="K12" s="180"/>
      <c r="L12" s="182"/>
      <c r="Z12" s="203">
        <v>3200543</v>
      </c>
    </row>
    <row r="13" spans="1:26" x14ac:dyDescent="0.25">
      <c r="A13" s="59">
        <v>7</v>
      </c>
      <c r="B13" s="116" t="s">
        <v>43</v>
      </c>
      <c r="C13" s="61">
        <f t="shared" si="0"/>
        <v>43829</v>
      </c>
      <c r="D13" s="180"/>
      <c r="E13" s="180"/>
      <c r="F13" s="180"/>
      <c r="G13" s="196"/>
      <c r="H13" s="201" t="str">
        <f>IF(G13="","",(VLOOKUP(Z13,'Reference List'!$B$3:$D$173,2,FALSE)))</f>
        <v/>
      </c>
      <c r="I13" s="202" t="str">
        <f>IF(G13="","",(VLOOKUP(Z13,'Reference List'!$B$3:$F$202,5,FALSE)))</f>
        <v/>
      </c>
      <c r="J13" s="199"/>
      <c r="K13" s="180"/>
      <c r="L13" s="180"/>
      <c r="Z13" s="203">
        <v>3200543</v>
      </c>
    </row>
    <row r="14" spans="1:26" x14ac:dyDescent="0.25">
      <c r="A14" s="47">
        <v>8</v>
      </c>
      <c r="B14" s="116" t="s">
        <v>44</v>
      </c>
      <c r="C14" s="61">
        <f t="shared" si="0"/>
        <v>43829</v>
      </c>
      <c r="D14" s="180"/>
      <c r="E14" s="180"/>
      <c r="F14" s="180"/>
      <c r="G14" s="180"/>
      <c r="H14" s="201" t="str">
        <f>IF(G14="","",(VLOOKUP(Z14,'Reference List'!$B$3:$D$173,2,FALSE)))</f>
        <v/>
      </c>
      <c r="I14" s="202" t="str">
        <f>IF(G14="","",(VLOOKUP(Z14,'Reference List'!$B$3:$F$202,5,FALSE)))</f>
        <v/>
      </c>
      <c r="J14" s="199"/>
      <c r="K14" s="180"/>
      <c r="L14" s="180"/>
      <c r="Z14" s="203">
        <v>3200543</v>
      </c>
    </row>
    <row r="15" spans="1:26" x14ac:dyDescent="0.25">
      <c r="A15" s="59">
        <v>9</v>
      </c>
      <c r="B15" s="116" t="s">
        <v>45</v>
      </c>
      <c r="C15" s="61">
        <f t="shared" si="0"/>
        <v>43829</v>
      </c>
      <c r="D15" s="180"/>
      <c r="E15" s="180"/>
      <c r="F15" s="180"/>
      <c r="G15" s="180"/>
      <c r="H15" s="201" t="str">
        <f>IF(G15="","",(VLOOKUP(Z15,'Reference List'!$B$3:$D$173,2,FALSE)))</f>
        <v/>
      </c>
      <c r="I15" s="202" t="str">
        <f>IF(G15="","",(VLOOKUP(Z15,'Reference List'!$B$3:$F$202,5,FALSE)))</f>
        <v/>
      </c>
      <c r="J15" s="199"/>
      <c r="K15" s="180"/>
      <c r="L15" s="182"/>
      <c r="Z15" s="203">
        <v>3200543</v>
      </c>
    </row>
    <row r="16" spans="1:26" ht="15.75" thickBot="1" x14ac:dyDescent="0.3">
      <c r="A16" s="47">
        <v>10</v>
      </c>
      <c r="B16" s="116" t="s">
        <v>46</v>
      </c>
      <c r="C16" s="61">
        <f t="shared" si="0"/>
        <v>43829</v>
      </c>
      <c r="D16" s="180"/>
      <c r="E16" s="180"/>
      <c r="F16" s="180"/>
      <c r="G16" s="180"/>
      <c r="H16" s="201" t="str">
        <f>IF(G16="","",(VLOOKUP(Z16,'Reference List'!$B$3:$D$173,2,FALSE)))</f>
        <v/>
      </c>
      <c r="I16" s="202" t="str">
        <f>IF(G16="","",(VLOOKUP(Z16,'Reference List'!$B$3:$F$202,5,FALSE)))</f>
        <v/>
      </c>
      <c r="J16" s="199"/>
      <c r="K16" s="180"/>
      <c r="L16" s="182"/>
      <c r="Z16" s="203">
        <v>3200543</v>
      </c>
    </row>
    <row r="17" spans="1:26" ht="15.75" thickBot="1" x14ac:dyDescent="0.3">
      <c r="A17" s="59">
        <v>11</v>
      </c>
      <c r="B17" s="237" t="s">
        <v>529</v>
      </c>
      <c r="C17" s="238"/>
      <c r="D17" s="238"/>
      <c r="E17" s="238"/>
      <c r="F17" s="238"/>
      <c r="G17" s="238"/>
      <c r="H17" s="238"/>
      <c r="I17" s="238"/>
      <c r="J17" s="238"/>
      <c r="K17" s="239"/>
      <c r="L17" s="260">
        <f>COUNTA(D18:D105)</f>
        <v>0</v>
      </c>
      <c r="Z17" s="203">
        <v>3200543</v>
      </c>
    </row>
    <row r="18" spans="1:26" x14ac:dyDescent="0.25">
      <c r="A18" s="47">
        <v>12</v>
      </c>
      <c r="B18" s="188" t="s">
        <v>47</v>
      </c>
      <c r="C18" s="187">
        <f>C16</f>
        <v>43829</v>
      </c>
      <c r="D18" s="180"/>
      <c r="E18" s="180"/>
      <c r="F18" s="180"/>
      <c r="G18" s="180"/>
      <c r="H18" s="180" t="str">
        <f>IF(G18="","",(VLOOKUP(Z18,'Reference List'!$B$3:$D$173,2,FALSE)))</f>
        <v/>
      </c>
      <c r="I18" s="181" t="str">
        <f>IF(G18="","",(VLOOKUP(Z18,'Reference List'!$B$3:$F$202,5,FALSE)))</f>
        <v/>
      </c>
      <c r="J18" s="204" t="str">
        <f>IF(LEFT(G18,8)="BUNNINGS","Loscam pallets only",IF(G18="MM ELECTRICAL BIBRA LAKE WA","Plain pallets only",""))</f>
        <v/>
      </c>
      <c r="K18" s="206" t="s">
        <v>519</v>
      </c>
      <c r="L18" s="208"/>
      <c r="Z18" s="203">
        <v>3200540</v>
      </c>
    </row>
    <row r="19" spans="1:26" x14ac:dyDescent="0.25">
      <c r="A19" s="59">
        <v>13</v>
      </c>
      <c r="B19" s="188" t="s">
        <v>48</v>
      </c>
      <c r="C19" s="187">
        <f t="shared" si="0"/>
        <v>43829</v>
      </c>
      <c r="D19" s="180"/>
      <c r="E19" s="180"/>
      <c r="F19" s="180"/>
      <c r="G19" s="180"/>
      <c r="H19" s="180" t="str">
        <f>IF(G19="","",(VLOOKUP(Z19,'Reference List'!$B$3:$D$173,2,FALSE)))</f>
        <v/>
      </c>
      <c r="I19" s="181" t="str">
        <f>IF(G19="","",(VLOOKUP(Z19,'Reference List'!$B$3:$F$202,5,FALSE)))</f>
        <v/>
      </c>
      <c r="J19" s="204" t="str">
        <f t="shared" ref="J19:J82" si="1">IF(LEFT(G19,8)="BUNNINGS","Loscam pallets only",IF(G19="MM ELECTRICAL BIBRA LAKE WA","Plain pallets only",""))</f>
        <v/>
      </c>
      <c r="K19" s="207" t="s">
        <v>520</v>
      </c>
      <c r="L19" s="209"/>
      <c r="Z19" s="203">
        <v>3200540</v>
      </c>
    </row>
    <row r="20" spans="1:26" x14ac:dyDescent="0.25">
      <c r="A20" s="47">
        <v>14</v>
      </c>
      <c r="B20" s="188" t="s">
        <v>49</v>
      </c>
      <c r="C20" s="187">
        <f t="shared" si="0"/>
        <v>43829</v>
      </c>
      <c r="D20" s="180"/>
      <c r="E20" s="180"/>
      <c r="F20" s="180"/>
      <c r="G20" s="180"/>
      <c r="H20" s="180" t="str">
        <f>IF(G20="","",(VLOOKUP(Z20,'Reference List'!$B$3:$D$173,2,FALSE)))</f>
        <v/>
      </c>
      <c r="I20" s="181" t="str">
        <f>IF(G20="","",(VLOOKUP(Z20,'Reference List'!$B$3:$F$202,5,FALSE)))</f>
        <v/>
      </c>
      <c r="J20" s="204" t="str">
        <f t="shared" si="1"/>
        <v/>
      </c>
      <c r="K20" s="207" t="s">
        <v>521</v>
      </c>
      <c r="L20" s="209"/>
      <c r="Z20" s="203">
        <v>3200540</v>
      </c>
    </row>
    <row r="21" spans="1:26" x14ac:dyDescent="0.25">
      <c r="A21" s="59">
        <v>15</v>
      </c>
      <c r="B21" s="188" t="s">
        <v>50</v>
      </c>
      <c r="C21" s="187">
        <f t="shared" si="0"/>
        <v>43829</v>
      </c>
      <c r="D21" s="180"/>
      <c r="E21" s="180"/>
      <c r="F21" s="180"/>
      <c r="G21" s="180"/>
      <c r="H21" s="180" t="str">
        <f>IF(G21="","",(VLOOKUP(Z21,'Reference List'!$B$3:$D$173,2,FALSE)))</f>
        <v/>
      </c>
      <c r="I21" s="181" t="str">
        <f>IF(G21="","",(VLOOKUP(Z21,'Reference List'!$B$3:$F$202,5,FALSE)))</f>
        <v/>
      </c>
      <c r="J21" s="204" t="str">
        <f t="shared" si="1"/>
        <v/>
      </c>
      <c r="K21" s="207" t="s">
        <v>554</v>
      </c>
      <c r="L21" s="209"/>
      <c r="Z21" s="203">
        <v>3200540</v>
      </c>
    </row>
    <row r="22" spans="1:26" ht="15.75" thickBot="1" x14ac:dyDescent="0.3">
      <c r="A22" s="47">
        <v>16</v>
      </c>
      <c r="B22" s="188" t="s">
        <v>51</v>
      </c>
      <c r="C22" s="187">
        <f t="shared" si="0"/>
        <v>43829</v>
      </c>
      <c r="D22" s="180"/>
      <c r="E22" s="180"/>
      <c r="F22" s="180"/>
      <c r="G22" s="180"/>
      <c r="H22" s="180" t="str">
        <f>IF(G22="","",(VLOOKUP(Z22,'Reference List'!$B$3:$D$173,2,FALSE)))</f>
        <v/>
      </c>
      <c r="I22" s="181" t="str">
        <f>IF(G22="","",(VLOOKUP(Z22,'Reference List'!$B$3:$F$202,5,FALSE)))</f>
        <v/>
      </c>
      <c r="J22" s="180" t="str">
        <f t="shared" si="1"/>
        <v/>
      </c>
      <c r="K22" s="210" t="s">
        <v>555</v>
      </c>
      <c r="L22" s="211"/>
      <c r="Z22" s="203">
        <v>3200540</v>
      </c>
    </row>
    <row r="23" spans="1:26" x14ac:dyDescent="0.25">
      <c r="A23" s="59">
        <v>17</v>
      </c>
      <c r="B23" s="188" t="s">
        <v>52</v>
      </c>
      <c r="C23" s="187">
        <f t="shared" si="0"/>
        <v>43829</v>
      </c>
      <c r="D23" s="180"/>
      <c r="E23" s="180"/>
      <c r="F23" s="180"/>
      <c r="G23" s="180"/>
      <c r="H23" s="180" t="str">
        <f>IF(G23="","",(VLOOKUP(Z23,'Reference List'!$B$3:$D$173,2,FALSE)))</f>
        <v/>
      </c>
      <c r="I23" s="181" t="str">
        <f>IF(G23="","",(VLOOKUP(Z23,'Reference List'!$B$3:$F$202,5,FALSE)))</f>
        <v/>
      </c>
      <c r="J23" s="180" t="str">
        <f t="shared" si="1"/>
        <v/>
      </c>
      <c r="K23" s="205"/>
      <c r="L23" s="205"/>
      <c r="Z23" s="203">
        <v>3200540</v>
      </c>
    </row>
    <row r="24" spans="1:26" x14ac:dyDescent="0.25">
      <c r="A24" s="71">
        <v>18</v>
      </c>
      <c r="B24" s="188" t="s">
        <v>53</v>
      </c>
      <c r="C24" s="187">
        <f t="shared" si="0"/>
        <v>43829</v>
      </c>
      <c r="D24" s="180"/>
      <c r="E24" s="180"/>
      <c r="F24" s="180"/>
      <c r="G24" s="180"/>
      <c r="H24" s="180" t="str">
        <f>IF(G24="","",(VLOOKUP(Z24,'Reference List'!$B$3:$D$173,2,FALSE)))</f>
        <v/>
      </c>
      <c r="I24" s="181" t="str">
        <f>IF(G24="","",(VLOOKUP(Z24,'Reference List'!$B$3:$F$202,5,FALSE)))</f>
        <v/>
      </c>
      <c r="J24" s="180" t="str">
        <f t="shared" si="1"/>
        <v/>
      </c>
      <c r="K24" s="180"/>
      <c r="L24" s="180"/>
      <c r="Z24" s="203">
        <v>3200540</v>
      </c>
    </row>
    <row r="25" spans="1:26" x14ac:dyDescent="0.25">
      <c r="A25" s="59">
        <v>19</v>
      </c>
      <c r="B25" s="188" t="s">
        <v>54</v>
      </c>
      <c r="C25" s="187">
        <f>+C24</f>
        <v>43829</v>
      </c>
      <c r="D25" s="180"/>
      <c r="E25" s="180"/>
      <c r="F25" s="180"/>
      <c r="G25" s="180"/>
      <c r="H25" s="180" t="str">
        <f>IF(G25="","",(VLOOKUP(Z25,'Reference List'!$B$3:$D$173,2,FALSE)))</f>
        <v/>
      </c>
      <c r="I25" s="181" t="str">
        <f>IF(G25="","",(VLOOKUP(Z25,'Reference List'!$B$3:$F$202,5,FALSE)))</f>
        <v/>
      </c>
      <c r="J25" s="180" t="str">
        <f t="shared" si="1"/>
        <v/>
      </c>
      <c r="K25" s="180"/>
      <c r="L25" s="180"/>
      <c r="Z25" s="203">
        <v>3200540</v>
      </c>
    </row>
    <row r="26" spans="1:26" x14ac:dyDescent="0.25">
      <c r="A26" s="47">
        <v>20</v>
      </c>
      <c r="B26" s="188" t="s">
        <v>55</v>
      </c>
      <c r="C26" s="187">
        <f>+C25</f>
        <v>43829</v>
      </c>
      <c r="D26" s="180"/>
      <c r="E26" s="180"/>
      <c r="F26" s="180"/>
      <c r="G26" s="180"/>
      <c r="H26" s="180" t="str">
        <f>IF(G26="","",(VLOOKUP(Z26,'Reference List'!$B$3:$D$173,2,FALSE)))</f>
        <v/>
      </c>
      <c r="I26" s="181" t="str">
        <f>IF(G26="","",(VLOOKUP(Z26,'Reference List'!$B$3:$F$202,5,FALSE)))</f>
        <v/>
      </c>
      <c r="J26" s="199" t="str">
        <f t="shared" si="1"/>
        <v/>
      </c>
      <c r="K26" s="180"/>
      <c r="L26" s="180"/>
      <c r="Z26" s="203">
        <v>3200540</v>
      </c>
    </row>
    <row r="27" spans="1:26" x14ac:dyDescent="0.25">
      <c r="A27" s="59">
        <v>21</v>
      </c>
      <c r="B27" s="188" t="s">
        <v>56</v>
      </c>
      <c r="C27" s="187">
        <f t="shared" ref="C27:C90" si="2">+C26</f>
        <v>43829</v>
      </c>
      <c r="D27" s="180"/>
      <c r="E27" s="180"/>
      <c r="F27" s="180"/>
      <c r="G27" s="182"/>
      <c r="H27" s="180" t="str">
        <f>IF(G27="","",(VLOOKUP(Z27,'Reference List'!$B$3:$D$173,2,FALSE)))</f>
        <v/>
      </c>
      <c r="I27" s="181" t="str">
        <f>IF(G27="","",(VLOOKUP(Z27,'Reference List'!$B$3:$F$202,5,FALSE)))</f>
        <v/>
      </c>
      <c r="J27" s="199" t="str">
        <f t="shared" si="1"/>
        <v/>
      </c>
      <c r="K27" s="180"/>
      <c r="L27" s="180"/>
      <c r="Z27" s="203">
        <v>3200540</v>
      </c>
    </row>
    <row r="28" spans="1:26" x14ac:dyDescent="0.25">
      <c r="A28" s="47">
        <v>22</v>
      </c>
      <c r="B28" s="188" t="s">
        <v>57</v>
      </c>
      <c r="C28" s="187">
        <f t="shared" si="2"/>
        <v>43829</v>
      </c>
      <c r="D28" s="180"/>
      <c r="E28" s="180"/>
      <c r="F28" s="180"/>
      <c r="G28" s="180"/>
      <c r="H28" s="180" t="str">
        <f>IF(G28="","",(VLOOKUP(Z28,'Reference List'!$B$3:$D$173,2,FALSE)))</f>
        <v/>
      </c>
      <c r="I28" s="181" t="str">
        <f>IF(G28="","",(VLOOKUP(Z28,'Reference List'!$B$3:$F$202,5,FALSE)))</f>
        <v/>
      </c>
      <c r="J28" s="200" t="str">
        <f t="shared" si="1"/>
        <v/>
      </c>
      <c r="K28" s="180"/>
      <c r="L28" s="180"/>
      <c r="Z28" s="203">
        <v>3200540</v>
      </c>
    </row>
    <row r="29" spans="1:26" x14ac:dyDescent="0.25">
      <c r="A29" s="59">
        <v>23</v>
      </c>
      <c r="B29" s="188" t="s">
        <v>58</v>
      </c>
      <c r="C29" s="187">
        <f t="shared" si="2"/>
        <v>43829</v>
      </c>
      <c r="D29" s="180"/>
      <c r="E29" s="180"/>
      <c r="F29" s="180"/>
      <c r="G29" s="182"/>
      <c r="H29" s="180" t="str">
        <f>IF(G29="","",(VLOOKUP(Z29,'Reference List'!$B$3:$D$173,2,FALSE)))</f>
        <v/>
      </c>
      <c r="I29" s="181" t="str">
        <f>IF(G29="","",(VLOOKUP(Z29,'Reference List'!$B$3:$F$202,5,FALSE)))</f>
        <v/>
      </c>
      <c r="J29" s="200" t="str">
        <f t="shared" si="1"/>
        <v/>
      </c>
      <c r="K29" s="180"/>
      <c r="L29" s="180"/>
      <c r="Z29" s="203">
        <v>3200540</v>
      </c>
    </row>
    <row r="30" spans="1:26" x14ac:dyDescent="0.25">
      <c r="A30" s="47">
        <v>24</v>
      </c>
      <c r="B30" s="188" t="s">
        <v>59</v>
      </c>
      <c r="C30" s="187">
        <f t="shared" si="2"/>
        <v>43829</v>
      </c>
      <c r="D30" s="180"/>
      <c r="E30" s="180"/>
      <c r="F30" s="180"/>
      <c r="G30" s="180"/>
      <c r="H30" s="180" t="str">
        <f>IF(G30="","",(VLOOKUP(Z30,'Reference List'!$B$3:$D$173,2,FALSE)))</f>
        <v/>
      </c>
      <c r="I30" s="181" t="str">
        <f>IF(G30="","",(VLOOKUP(Z30,'Reference List'!$B$3:$F$202,5,FALSE)))</f>
        <v/>
      </c>
      <c r="J30" s="200" t="str">
        <f t="shared" si="1"/>
        <v/>
      </c>
      <c r="K30" s="180"/>
      <c r="L30" s="180"/>
      <c r="Z30" s="203">
        <v>3200540</v>
      </c>
    </row>
    <row r="31" spans="1:26" x14ac:dyDescent="0.25">
      <c r="A31" s="59">
        <v>25</v>
      </c>
      <c r="B31" s="188" t="s">
        <v>60</v>
      </c>
      <c r="C31" s="187">
        <f t="shared" si="2"/>
        <v>43829</v>
      </c>
      <c r="D31" s="180"/>
      <c r="E31" s="180"/>
      <c r="F31" s="180"/>
      <c r="G31" s="180"/>
      <c r="H31" s="180" t="str">
        <f>IF(G31="","",(VLOOKUP(Z31,'Reference List'!$B$3:$D$173,2,FALSE)))</f>
        <v/>
      </c>
      <c r="I31" s="181" t="str">
        <f>IF(G31="","",(VLOOKUP(Z31,'Reference List'!$B$3:$F$202,5,FALSE)))</f>
        <v/>
      </c>
      <c r="J31" s="200" t="str">
        <f t="shared" si="1"/>
        <v/>
      </c>
      <c r="K31" s="180"/>
      <c r="L31" s="180"/>
      <c r="Z31" s="203">
        <v>3200540</v>
      </c>
    </row>
    <row r="32" spans="1:26" x14ac:dyDescent="0.25">
      <c r="A32" s="47">
        <v>26</v>
      </c>
      <c r="B32" s="188" t="s">
        <v>61</v>
      </c>
      <c r="C32" s="187">
        <f t="shared" si="2"/>
        <v>43829</v>
      </c>
      <c r="D32" s="180"/>
      <c r="E32" s="180"/>
      <c r="F32" s="180"/>
      <c r="G32" s="180" t="str">
        <f>IF(F32="","",(VLOOKUP(F32,'Reference List'!$B$3:$D$173,2,FALSE)))</f>
        <v/>
      </c>
      <c r="H32" s="180" t="str">
        <f>IF(G32="","",(VLOOKUP(Z32,'Reference List'!$B$3:$D$173,2,FALSE)))</f>
        <v/>
      </c>
      <c r="I32" s="181" t="str">
        <f>IF(G32="","",(VLOOKUP(Z32,'Reference List'!$B$3:$F$202,5,FALSE)))</f>
        <v/>
      </c>
      <c r="J32" s="200" t="str">
        <f t="shared" si="1"/>
        <v/>
      </c>
      <c r="K32" s="180"/>
      <c r="L32" s="180"/>
      <c r="Z32" s="203">
        <v>3200540</v>
      </c>
    </row>
    <row r="33" spans="1:26" x14ac:dyDescent="0.25">
      <c r="A33" s="59">
        <v>27</v>
      </c>
      <c r="B33" s="188" t="s">
        <v>62</v>
      </c>
      <c r="C33" s="187">
        <f t="shared" si="2"/>
        <v>43829</v>
      </c>
      <c r="D33" s="180"/>
      <c r="E33" s="180"/>
      <c r="F33" s="180"/>
      <c r="G33" s="180" t="str">
        <f>IF(F33="","",(VLOOKUP(F33,'Reference List'!$B$3:$D$173,2,FALSE)))</f>
        <v/>
      </c>
      <c r="H33" s="180" t="str">
        <f>IF(G33="","",(VLOOKUP(Z33,'Reference List'!$B$3:$D$173,2,FALSE)))</f>
        <v/>
      </c>
      <c r="I33" s="181" t="str">
        <f>IF(G33="","",(VLOOKUP(Z33,'Reference List'!$B$3:$F$202,5,FALSE)))</f>
        <v/>
      </c>
      <c r="J33" s="200" t="str">
        <f t="shared" si="1"/>
        <v/>
      </c>
      <c r="K33" s="180"/>
      <c r="L33" s="180"/>
      <c r="Z33" s="203">
        <v>3200540</v>
      </c>
    </row>
    <row r="34" spans="1:26" x14ac:dyDescent="0.25">
      <c r="A34" s="47">
        <v>28</v>
      </c>
      <c r="B34" s="188" t="s">
        <v>63</v>
      </c>
      <c r="C34" s="187">
        <f t="shared" si="2"/>
        <v>43829</v>
      </c>
      <c r="D34" s="180"/>
      <c r="E34" s="180"/>
      <c r="F34" s="180"/>
      <c r="G34" s="180" t="str">
        <f>IF(F34="","",(VLOOKUP(F34,'Reference List'!$B$3:$D$173,2,FALSE)))</f>
        <v/>
      </c>
      <c r="H34" s="180" t="str">
        <f>IF(G34="","",(VLOOKUP(Z34,'Reference List'!$B$3:$D$173,2,FALSE)))</f>
        <v/>
      </c>
      <c r="I34" s="181" t="str">
        <f>IF(G34="","",(VLOOKUP(Z34,'Reference List'!$B$3:$F$202,5,FALSE)))</f>
        <v/>
      </c>
      <c r="J34" s="200" t="str">
        <f t="shared" si="1"/>
        <v/>
      </c>
      <c r="K34" s="180"/>
      <c r="L34" s="180"/>
      <c r="Z34" s="203">
        <v>3200540</v>
      </c>
    </row>
    <row r="35" spans="1:26" x14ac:dyDescent="0.25">
      <c r="A35" s="59">
        <v>29</v>
      </c>
      <c r="B35" s="188" t="s">
        <v>64</v>
      </c>
      <c r="C35" s="187">
        <f t="shared" si="2"/>
        <v>43829</v>
      </c>
      <c r="D35" s="180"/>
      <c r="E35" s="180"/>
      <c r="F35" s="180"/>
      <c r="G35" s="180" t="str">
        <f>IF(F35="","",(VLOOKUP(F35,'Reference List'!$B$3:$D$173,2,FALSE)))</f>
        <v/>
      </c>
      <c r="H35" s="180" t="str">
        <f>IF(G35="","",(VLOOKUP(Z35,'Reference List'!$B$3:$D$173,2,FALSE)))</f>
        <v/>
      </c>
      <c r="I35" s="181" t="str">
        <f>IF(G35="","",(VLOOKUP(Z35,'Reference List'!$B$3:$F$202,5,FALSE)))</f>
        <v/>
      </c>
      <c r="J35" s="200" t="str">
        <f t="shared" si="1"/>
        <v/>
      </c>
      <c r="K35" s="180"/>
      <c r="L35" s="180"/>
      <c r="Z35" s="203">
        <v>3200540</v>
      </c>
    </row>
    <row r="36" spans="1:26" x14ac:dyDescent="0.25">
      <c r="A36" s="59">
        <v>31</v>
      </c>
      <c r="B36" s="188" t="s">
        <v>65</v>
      </c>
      <c r="C36" s="187">
        <f t="shared" si="2"/>
        <v>43829</v>
      </c>
      <c r="D36" s="180"/>
      <c r="E36" s="180"/>
      <c r="F36" s="180"/>
      <c r="G36" s="180" t="str">
        <f>IF(F36="","",(VLOOKUP(F36,'Reference List'!$B$3:$D$173,2,FALSE)))</f>
        <v/>
      </c>
      <c r="H36" s="180" t="str">
        <f>IF(G36="","",(VLOOKUP(Z36,'Reference List'!$B$3:$D$173,2,FALSE)))</f>
        <v/>
      </c>
      <c r="I36" s="181" t="str">
        <f>IF(G36="","",(VLOOKUP(Z36,'Reference List'!$B$3:$F$202,5,FALSE)))</f>
        <v/>
      </c>
      <c r="J36" s="200" t="str">
        <f t="shared" si="1"/>
        <v/>
      </c>
      <c r="K36" s="180"/>
      <c r="L36" s="180"/>
      <c r="Z36" s="203">
        <v>3200540</v>
      </c>
    </row>
    <row r="37" spans="1:26" x14ac:dyDescent="0.25">
      <c r="A37" s="47">
        <v>32</v>
      </c>
      <c r="B37" s="188" t="s">
        <v>66</v>
      </c>
      <c r="C37" s="187">
        <f t="shared" si="2"/>
        <v>43829</v>
      </c>
      <c r="D37" s="180"/>
      <c r="E37" s="180"/>
      <c r="F37" s="180"/>
      <c r="G37" s="180" t="str">
        <f>IF(F37="","",(VLOOKUP(F37,'Reference List'!$B$3:$D$173,2,FALSE)))</f>
        <v/>
      </c>
      <c r="H37" s="180" t="str">
        <f>IF(G37="","",(VLOOKUP(Z37,'Reference List'!$B$3:$D$173,2,FALSE)))</f>
        <v/>
      </c>
      <c r="I37" s="181" t="str">
        <f>IF(G37="","",(VLOOKUP(Z37,'Reference List'!$B$3:$F$202,5,FALSE)))</f>
        <v/>
      </c>
      <c r="J37" s="200" t="str">
        <f t="shared" si="1"/>
        <v/>
      </c>
      <c r="K37" s="180"/>
      <c r="L37" s="180"/>
      <c r="Z37" s="203">
        <v>3200540</v>
      </c>
    </row>
    <row r="38" spans="1:26" x14ac:dyDescent="0.25">
      <c r="A38" s="59">
        <v>33</v>
      </c>
      <c r="B38" s="188" t="s">
        <v>67</v>
      </c>
      <c r="C38" s="187">
        <f t="shared" si="2"/>
        <v>43829</v>
      </c>
      <c r="D38" s="180"/>
      <c r="E38" s="180"/>
      <c r="F38" s="180"/>
      <c r="G38" s="180" t="str">
        <f>IF(F38="","",(VLOOKUP(F38,'Reference List'!$B$3:$D$173,2,FALSE)))</f>
        <v/>
      </c>
      <c r="H38" s="180" t="str">
        <f>IF(G38="","",(VLOOKUP(Z38,'Reference List'!$B$3:$D$173,2,FALSE)))</f>
        <v/>
      </c>
      <c r="I38" s="181" t="str">
        <f>IF(G38="","",(VLOOKUP(Z38,'Reference List'!$B$3:$F$202,5,FALSE)))</f>
        <v/>
      </c>
      <c r="J38" s="200" t="str">
        <f t="shared" si="1"/>
        <v/>
      </c>
      <c r="K38" s="180"/>
      <c r="L38" s="180"/>
      <c r="Z38" s="203">
        <v>3200540</v>
      </c>
    </row>
    <row r="39" spans="1:26" x14ac:dyDescent="0.25">
      <c r="A39" s="47">
        <v>34</v>
      </c>
      <c r="B39" s="188" t="s">
        <v>68</v>
      </c>
      <c r="C39" s="187">
        <f t="shared" si="2"/>
        <v>43829</v>
      </c>
      <c r="D39" s="180"/>
      <c r="E39" s="180"/>
      <c r="F39" s="180"/>
      <c r="G39" s="180" t="str">
        <f>IF(F39="","",(VLOOKUP(F39,'Reference List'!$B$3:$D$173,2,FALSE)))</f>
        <v/>
      </c>
      <c r="H39" s="180" t="str">
        <f>IF(G39="","",(VLOOKUP(Z39,'Reference List'!$B$3:$D$173,2,FALSE)))</f>
        <v/>
      </c>
      <c r="I39" s="181" t="str">
        <f>IF(G39="","",(VLOOKUP(Z39,'Reference List'!$B$3:$F$202,5,FALSE)))</f>
        <v/>
      </c>
      <c r="J39" s="200" t="str">
        <f t="shared" si="1"/>
        <v/>
      </c>
      <c r="K39" s="180"/>
      <c r="L39" s="180"/>
      <c r="Z39" s="203">
        <v>3200540</v>
      </c>
    </row>
    <row r="40" spans="1:26" x14ac:dyDescent="0.25">
      <c r="A40" s="59">
        <v>35</v>
      </c>
      <c r="B40" s="188" t="s">
        <v>69</v>
      </c>
      <c r="C40" s="187">
        <f t="shared" si="2"/>
        <v>43829</v>
      </c>
      <c r="D40" s="180"/>
      <c r="E40" s="180"/>
      <c r="F40" s="180"/>
      <c r="G40" s="180" t="str">
        <f>IF(F40="","",(VLOOKUP(F40,'Reference List'!$B$3:$D$173,2,FALSE)))</f>
        <v/>
      </c>
      <c r="H40" s="180" t="str">
        <f>IF(G40="","",(VLOOKUP(Z40,'Reference List'!$B$3:$D$173,2,FALSE)))</f>
        <v/>
      </c>
      <c r="I40" s="181" t="str">
        <f>IF(G40="","",(VLOOKUP(Z40,'Reference List'!$B$3:$F$202,5,FALSE)))</f>
        <v/>
      </c>
      <c r="J40" s="200" t="str">
        <f t="shared" si="1"/>
        <v/>
      </c>
      <c r="K40" s="180"/>
      <c r="L40" s="180"/>
      <c r="Z40" s="203">
        <v>3200540</v>
      </c>
    </row>
    <row r="41" spans="1:26" x14ac:dyDescent="0.25">
      <c r="A41" s="47">
        <v>36</v>
      </c>
      <c r="B41" s="188" t="s">
        <v>70</v>
      </c>
      <c r="C41" s="187">
        <f t="shared" si="2"/>
        <v>43829</v>
      </c>
      <c r="D41" s="180"/>
      <c r="E41" s="180"/>
      <c r="F41" s="180"/>
      <c r="G41" s="180" t="str">
        <f>IF(F41="","",(VLOOKUP(F41,'Reference List'!$B$3:$D$173,2,FALSE)))</f>
        <v/>
      </c>
      <c r="H41" s="180" t="str">
        <f>IF(G41="","",(VLOOKUP(Z41,'Reference List'!$B$3:$D$173,2,FALSE)))</f>
        <v/>
      </c>
      <c r="I41" s="181" t="str">
        <f>IF(G41="","",(VLOOKUP(Z41,'Reference List'!$B$3:$F$202,5,FALSE)))</f>
        <v/>
      </c>
      <c r="J41" s="200" t="str">
        <f t="shared" si="1"/>
        <v/>
      </c>
      <c r="K41" s="180"/>
      <c r="L41" s="180"/>
      <c r="Z41" s="203">
        <v>3200540</v>
      </c>
    </row>
    <row r="42" spans="1:26" x14ac:dyDescent="0.25">
      <c r="A42" s="59">
        <v>37</v>
      </c>
      <c r="B42" s="188" t="s">
        <v>71</v>
      </c>
      <c r="C42" s="187">
        <f t="shared" si="2"/>
        <v>43829</v>
      </c>
      <c r="D42" s="180"/>
      <c r="E42" s="180"/>
      <c r="F42" s="180"/>
      <c r="G42" s="180" t="str">
        <f>IF(F42="","",(VLOOKUP(F42,'Reference List'!$B$3:$D$173,2,FALSE)))</f>
        <v/>
      </c>
      <c r="H42" s="180" t="str">
        <f>IF(G42="","",(VLOOKUP(Z42,'Reference List'!$B$3:$D$173,2,FALSE)))</f>
        <v/>
      </c>
      <c r="I42" s="181" t="str">
        <f>IF(G42="","",(VLOOKUP(Z42,'Reference List'!$B$3:$F$202,5,FALSE)))</f>
        <v/>
      </c>
      <c r="J42" s="200" t="str">
        <f t="shared" si="1"/>
        <v/>
      </c>
      <c r="K42" s="180"/>
      <c r="L42" s="180"/>
      <c r="Z42" s="203">
        <v>3200540</v>
      </c>
    </row>
    <row r="43" spans="1:26" x14ac:dyDescent="0.25">
      <c r="A43" s="47">
        <v>38</v>
      </c>
      <c r="B43" s="188" t="s">
        <v>72</v>
      </c>
      <c r="C43" s="187">
        <f t="shared" si="2"/>
        <v>43829</v>
      </c>
      <c r="D43" s="180"/>
      <c r="E43" s="180"/>
      <c r="F43" s="180"/>
      <c r="G43" s="180" t="str">
        <f>IF(F43="","",(VLOOKUP(F43,'Reference List'!$B$3:$D$173,2,FALSE)))</f>
        <v/>
      </c>
      <c r="H43" s="180" t="str">
        <f>IF(G43="","",(VLOOKUP(Z43,'Reference List'!$B$3:$D$173,2,FALSE)))</f>
        <v/>
      </c>
      <c r="I43" s="181" t="str">
        <f>IF(G43="","",(VLOOKUP(Z43,'Reference List'!$B$3:$F$202,5,FALSE)))</f>
        <v/>
      </c>
      <c r="J43" s="200" t="str">
        <f t="shared" si="1"/>
        <v/>
      </c>
      <c r="K43" s="180"/>
      <c r="L43" s="180"/>
      <c r="Z43" s="203">
        <v>3200540</v>
      </c>
    </row>
    <row r="44" spans="1:26" x14ac:dyDescent="0.25">
      <c r="A44" s="59">
        <v>39</v>
      </c>
      <c r="B44" s="188" t="s">
        <v>73</v>
      </c>
      <c r="C44" s="187">
        <f t="shared" si="2"/>
        <v>43829</v>
      </c>
      <c r="D44" s="180"/>
      <c r="E44" s="180"/>
      <c r="F44" s="180"/>
      <c r="G44" s="180" t="str">
        <f>IF(F44="","",(VLOOKUP(F44,'Reference List'!$B$3:$D$168,2,FALSE)))</f>
        <v/>
      </c>
      <c r="H44" s="180" t="str">
        <f>IF(G44="","",(VLOOKUP(Z44,'Reference List'!$B$3:$D$173,2,FALSE)))</f>
        <v/>
      </c>
      <c r="I44" s="181" t="str">
        <f>IF(G44="","",(VLOOKUP(Z44,'Reference List'!$B$3:$F$202,5,FALSE)))</f>
        <v/>
      </c>
      <c r="J44" s="200" t="str">
        <f t="shared" si="1"/>
        <v/>
      </c>
      <c r="K44" s="180"/>
      <c r="L44" s="180"/>
      <c r="Z44" s="203">
        <v>3200540</v>
      </c>
    </row>
    <row r="45" spans="1:26" x14ac:dyDescent="0.25">
      <c r="A45" s="47">
        <v>40</v>
      </c>
      <c r="B45" s="188" t="s">
        <v>74</v>
      </c>
      <c r="C45" s="187">
        <f t="shared" si="2"/>
        <v>43829</v>
      </c>
      <c r="D45" s="180"/>
      <c r="E45" s="180"/>
      <c r="F45" s="180"/>
      <c r="G45" s="180"/>
      <c r="H45" s="180" t="str">
        <f>IF(G45="","",(VLOOKUP(Z45,'Reference List'!$B$3:$D$173,2,FALSE)))</f>
        <v/>
      </c>
      <c r="I45" s="181" t="str">
        <f>IF(G45="","",(VLOOKUP(Z45,'Reference List'!$B$3:$F$202,5,FALSE)))</f>
        <v/>
      </c>
      <c r="J45" s="200" t="str">
        <f t="shared" si="1"/>
        <v/>
      </c>
      <c r="K45" s="180"/>
      <c r="L45" s="180"/>
      <c r="Z45" s="203">
        <v>3200540</v>
      </c>
    </row>
    <row r="46" spans="1:26" x14ac:dyDescent="0.25">
      <c r="A46" s="59">
        <v>41</v>
      </c>
      <c r="B46" s="188" t="s">
        <v>75</v>
      </c>
      <c r="C46" s="187">
        <f t="shared" si="2"/>
        <v>43829</v>
      </c>
      <c r="D46" s="180"/>
      <c r="E46" s="180"/>
      <c r="F46" s="180"/>
      <c r="G46" s="180"/>
      <c r="H46" s="180" t="str">
        <f>IF(G46="","",(VLOOKUP(Z46,'Reference List'!$B$3:$D$173,2,FALSE)))</f>
        <v/>
      </c>
      <c r="I46" s="181" t="str">
        <f>IF(G46="","",(VLOOKUP(Z46,'Reference List'!$B$3:$F$202,5,FALSE)))</f>
        <v/>
      </c>
      <c r="J46" s="200" t="str">
        <f t="shared" si="1"/>
        <v/>
      </c>
      <c r="K46" s="180"/>
      <c r="L46" s="180"/>
      <c r="Z46" s="203">
        <v>3200540</v>
      </c>
    </row>
    <row r="47" spans="1:26" x14ac:dyDescent="0.25">
      <c r="A47" s="47">
        <v>42</v>
      </c>
      <c r="B47" s="188" t="s">
        <v>76</v>
      </c>
      <c r="C47" s="187">
        <f t="shared" si="2"/>
        <v>43829</v>
      </c>
      <c r="D47" s="180"/>
      <c r="E47" s="180"/>
      <c r="F47" s="180"/>
      <c r="G47" s="180"/>
      <c r="H47" s="180" t="str">
        <f>IF(G47="","",(VLOOKUP(Z47,'Reference List'!$B$3:$D$173,2,FALSE)))</f>
        <v/>
      </c>
      <c r="I47" s="181" t="str">
        <f>IF(G47="","",(VLOOKUP(Z47,'Reference List'!$B$3:$F$202,5,FALSE)))</f>
        <v/>
      </c>
      <c r="J47" s="200" t="str">
        <f t="shared" si="1"/>
        <v/>
      </c>
      <c r="K47" s="180"/>
      <c r="L47" s="180"/>
      <c r="Z47" s="203">
        <v>3200540</v>
      </c>
    </row>
    <row r="48" spans="1:26" x14ac:dyDescent="0.25">
      <c r="A48" s="59">
        <v>43</v>
      </c>
      <c r="B48" s="188" t="s">
        <v>77</v>
      </c>
      <c r="C48" s="187">
        <f t="shared" si="2"/>
        <v>43829</v>
      </c>
      <c r="D48" s="180"/>
      <c r="E48" s="180"/>
      <c r="F48" s="180"/>
      <c r="G48" s="180"/>
      <c r="H48" s="180" t="str">
        <f>IF(G48="","",(VLOOKUP(Z48,'Reference List'!$B$3:$D$173,2,FALSE)))</f>
        <v/>
      </c>
      <c r="I48" s="181" t="str">
        <f>IF(G48="","",(VLOOKUP(Z48,'Reference List'!$B$3:$F$202,5,FALSE)))</f>
        <v/>
      </c>
      <c r="J48" s="200" t="str">
        <f t="shared" si="1"/>
        <v/>
      </c>
      <c r="K48" s="180"/>
      <c r="L48" s="180"/>
      <c r="Z48" s="203">
        <v>3200540</v>
      </c>
    </row>
    <row r="49" spans="1:26" x14ac:dyDescent="0.25">
      <c r="A49" s="47">
        <v>44</v>
      </c>
      <c r="B49" s="188" t="s">
        <v>78</v>
      </c>
      <c r="C49" s="187">
        <f t="shared" si="2"/>
        <v>43829</v>
      </c>
      <c r="D49" s="180"/>
      <c r="E49" s="180"/>
      <c r="F49" s="180"/>
      <c r="G49" s="180"/>
      <c r="H49" s="180" t="str">
        <f>IF(G49="","",(VLOOKUP(Z49,'Reference List'!$B$3:$D$173,2,FALSE)))</f>
        <v/>
      </c>
      <c r="I49" s="181" t="str">
        <f>IF(G49="","",(VLOOKUP(Z49,'Reference List'!$B$3:$F$202,5,FALSE)))</f>
        <v/>
      </c>
      <c r="J49" s="200" t="str">
        <f t="shared" si="1"/>
        <v/>
      </c>
      <c r="K49" s="180"/>
      <c r="L49" s="180"/>
      <c r="Z49" s="203">
        <v>3200540</v>
      </c>
    </row>
    <row r="50" spans="1:26" x14ac:dyDescent="0.25">
      <c r="A50" s="59">
        <v>45</v>
      </c>
      <c r="B50" s="188" t="s">
        <v>79</v>
      </c>
      <c r="C50" s="187">
        <f t="shared" si="2"/>
        <v>43829</v>
      </c>
      <c r="D50" s="180"/>
      <c r="E50" s="180"/>
      <c r="F50" s="180"/>
      <c r="G50" s="180"/>
      <c r="H50" s="180" t="str">
        <f>IF(G50="","",(VLOOKUP(Z50,'Reference List'!$B$3:$D$173,2,FALSE)))</f>
        <v/>
      </c>
      <c r="I50" s="181" t="str">
        <f>IF(G50="","",(VLOOKUP(Z50,'Reference List'!$B$3:$F$202,5,FALSE)))</f>
        <v/>
      </c>
      <c r="J50" s="200" t="str">
        <f t="shared" si="1"/>
        <v/>
      </c>
      <c r="K50" s="180"/>
      <c r="L50" s="180"/>
      <c r="Z50" s="203">
        <v>3200540</v>
      </c>
    </row>
    <row r="51" spans="1:26" x14ac:dyDescent="0.25">
      <c r="A51" s="47">
        <v>46</v>
      </c>
      <c r="B51" s="188" t="s">
        <v>80</v>
      </c>
      <c r="C51" s="187">
        <f t="shared" si="2"/>
        <v>43829</v>
      </c>
      <c r="D51" s="201"/>
      <c r="E51" s="201"/>
      <c r="F51" s="201"/>
      <c r="G51" s="201"/>
      <c r="H51" s="180" t="str">
        <f>IF(G51="","",(VLOOKUP(Z51,'Reference List'!$B$3:$D$173,2,FALSE)))</f>
        <v/>
      </c>
      <c r="I51" s="181" t="str">
        <f>IF(G51="","",(VLOOKUP(Z51,'Reference List'!$B$3:$F$202,5,FALSE)))</f>
        <v/>
      </c>
      <c r="J51" s="201" t="str">
        <f t="shared" si="1"/>
        <v/>
      </c>
      <c r="K51" s="201"/>
      <c r="L51" s="201"/>
      <c r="Z51" s="203">
        <v>3200540</v>
      </c>
    </row>
    <row r="52" spans="1:26" x14ac:dyDescent="0.25">
      <c r="A52" s="59">
        <v>47</v>
      </c>
      <c r="B52" s="188" t="s">
        <v>81</v>
      </c>
      <c r="C52" s="187">
        <f t="shared" si="2"/>
        <v>43829</v>
      </c>
      <c r="D52" s="201"/>
      <c r="E52" s="201"/>
      <c r="F52" s="201"/>
      <c r="G52" s="201"/>
      <c r="H52" s="180" t="str">
        <f>IF(G52="","",(VLOOKUP(Z52,'Reference List'!$B$3:$D$173,2,FALSE)))</f>
        <v/>
      </c>
      <c r="I52" s="181" t="str">
        <f>IF(G52="","",(VLOOKUP(Z52,'Reference List'!$B$3:$F$202,5,FALSE)))</f>
        <v/>
      </c>
      <c r="J52" s="201" t="str">
        <f t="shared" si="1"/>
        <v/>
      </c>
      <c r="K52" s="201"/>
      <c r="L52" s="201"/>
      <c r="Z52" s="203">
        <v>3200540</v>
      </c>
    </row>
    <row r="53" spans="1:26" x14ac:dyDescent="0.25">
      <c r="A53" s="47">
        <v>48</v>
      </c>
      <c r="B53" s="188" t="s">
        <v>82</v>
      </c>
      <c r="C53" s="187">
        <f t="shared" si="2"/>
        <v>43829</v>
      </c>
      <c r="D53" s="201"/>
      <c r="E53" s="201"/>
      <c r="F53" s="201"/>
      <c r="G53" s="201"/>
      <c r="H53" s="180" t="str">
        <f>IF(G53="","",(VLOOKUP(Z53,'Reference List'!$B$3:$D$173,2,FALSE)))</f>
        <v/>
      </c>
      <c r="I53" s="181" t="str">
        <f>IF(G53="","",(VLOOKUP(Z53,'Reference List'!$B$3:$F$202,5,FALSE)))</f>
        <v/>
      </c>
      <c r="J53" s="201" t="str">
        <f t="shared" si="1"/>
        <v/>
      </c>
      <c r="K53" s="201"/>
      <c r="L53" s="201"/>
      <c r="Z53" s="203">
        <v>3200540</v>
      </c>
    </row>
    <row r="54" spans="1:26" x14ac:dyDescent="0.25">
      <c r="A54" s="47">
        <v>50</v>
      </c>
      <c r="B54" s="188" t="s">
        <v>83</v>
      </c>
      <c r="C54" s="187">
        <f t="shared" si="2"/>
        <v>43829</v>
      </c>
      <c r="D54" s="201"/>
      <c r="E54" s="201"/>
      <c r="F54" s="201"/>
      <c r="G54" s="201"/>
      <c r="H54" s="180" t="str">
        <f>IF(G54="","",(VLOOKUP(Z54,'Reference List'!$B$3:$D$173,2,FALSE)))</f>
        <v/>
      </c>
      <c r="I54" s="181" t="str">
        <f>IF(G54="","",(VLOOKUP(Z54,'Reference List'!$B$3:$F$202,5,FALSE)))</f>
        <v/>
      </c>
      <c r="J54" s="201" t="str">
        <f t="shared" si="1"/>
        <v/>
      </c>
      <c r="K54" s="201"/>
      <c r="L54" s="201"/>
      <c r="Z54" s="203">
        <v>3200540</v>
      </c>
    </row>
    <row r="55" spans="1:26" x14ac:dyDescent="0.25">
      <c r="A55" s="59">
        <v>51</v>
      </c>
      <c r="B55" s="188" t="s">
        <v>84</v>
      </c>
      <c r="C55" s="187">
        <f t="shared" si="2"/>
        <v>43829</v>
      </c>
      <c r="D55" s="201"/>
      <c r="E55" s="201"/>
      <c r="F55" s="201"/>
      <c r="G55" s="201"/>
      <c r="H55" s="180" t="str">
        <f>IF(G55="","",(VLOOKUP(Z55,'Reference List'!$B$3:$D$173,2,FALSE)))</f>
        <v/>
      </c>
      <c r="I55" s="181" t="str">
        <f>IF(G55="","",(VLOOKUP(Z55,'Reference List'!$B$3:$F$202,5,FALSE)))</f>
        <v/>
      </c>
      <c r="J55" s="201" t="str">
        <f t="shared" si="1"/>
        <v/>
      </c>
      <c r="K55" s="201"/>
      <c r="L55" s="201"/>
      <c r="Z55" s="203">
        <v>3200540</v>
      </c>
    </row>
    <row r="56" spans="1:26" x14ac:dyDescent="0.25">
      <c r="A56" s="47">
        <v>52</v>
      </c>
      <c r="B56" s="188" t="s">
        <v>85</v>
      </c>
      <c r="C56" s="187">
        <f t="shared" si="2"/>
        <v>43829</v>
      </c>
      <c r="D56" s="201"/>
      <c r="E56" s="201"/>
      <c r="F56" s="201"/>
      <c r="G56" s="201"/>
      <c r="H56" s="180" t="str">
        <f>IF(G56="","",(VLOOKUP(Z56,'Reference List'!$B$3:$D$173,2,FALSE)))</f>
        <v/>
      </c>
      <c r="I56" s="181" t="str">
        <f>IF(G56="","",(VLOOKUP(Z56,'Reference List'!$B$3:$F$202,5,FALSE)))</f>
        <v/>
      </c>
      <c r="J56" s="201" t="str">
        <f t="shared" si="1"/>
        <v/>
      </c>
      <c r="K56" s="201"/>
      <c r="L56" s="201"/>
      <c r="Z56" s="203">
        <v>3200540</v>
      </c>
    </row>
    <row r="57" spans="1:26" x14ac:dyDescent="0.25">
      <c r="A57" s="59">
        <v>53</v>
      </c>
      <c r="B57" s="188" t="s">
        <v>86</v>
      </c>
      <c r="C57" s="187">
        <f t="shared" si="2"/>
        <v>43829</v>
      </c>
      <c r="D57" s="201"/>
      <c r="E57" s="201"/>
      <c r="F57" s="201"/>
      <c r="G57" s="201"/>
      <c r="H57" s="180" t="str">
        <f>IF(G57="","",(VLOOKUP(Z57,'Reference List'!$B$3:$D$173,2,FALSE)))</f>
        <v/>
      </c>
      <c r="I57" s="181" t="str">
        <f>IF(G57="","",(VLOOKUP(Z57,'Reference List'!$B$3:$F$202,5,FALSE)))</f>
        <v/>
      </c>
      <c r="J57" s="201" t="str">
        <f t="shared" si="1"/>
        <v/>
      </c>
      <c r="K57" s="201"/>
      <c r="L57" s="201"/>
      <c r="Z57" s="203">
        <v>3200540</v>
      </c>
    </row>
    <row r="58" spans="1:26" x14ac:dyDescent="0.25">
      <c r="A58" s="47">
        <v>54</v>
      </c>
      <c r="B58" s="188" t="s">
        <v>87</v>
      </c>
      <c r="C58" s="187">
        <f t="shared" si="2"/>
        <v>43829</v>
      </c>
      <c r="D58" s="201"/>
      <c r="E58" s="201"/>
      <c r="F58" s="201"/>
      <c r="G58" s="201"/>
      <c r="H58" s="180" t="str">
        <f>IF(G58="","",(VLOOKUP(Z58,'Reference List'!$B$3:$D$173,2,FALSE)))</f>
        <v/>
      </c>
      <c r="I58" s="181" t="str">
        <f>IF(G58="","",(VLOOKUP(Z58,'Reference List'!$B$3:$F$202,5,FALSE)))</f>
        <v/>
      </c>
      <c r="J58" s="201" t="str">
        <f t="shared" si="1"/>
        <v/>
      </c>
      <c r="K58" s="201"/>
      <c r="L58" s="201"/>
      <c r="Z58" s="203">
        <v>3200540</v>
      </c>
    </row>
    <row r="59" spans="1:26" x14ac:dyDescent="0.25">
      <c r="A59" s="59">
        <v>55</v>
      </c>
      <c r="B59" s="188" t="s">
        <v>88</v>
      </c>
      <c r="C59" s="187">
        <f t="shared" si="2"/>
        <v>43829</v>
      </c>
      <c r="D59" s="201"/>
      <c r="E59" s="201"/>
      <c r="F59" s="201"/>
      <c r="G59" s="201"/>
      <c r="H59" s="180" t="str">
        <f>IF(G59="","",(VLOOKUP(Z59,'Reference List'!$B$3:$D$173,2,FALSE)))</f>
        <v/>
      </c>
      <c r="I59" s="181" t="str">
        <f>IF(G59="","",(VLOOKUP(Z59,'Reference List'!$B$3:$F$202,5,FALSE)))</f>
        <v/>
      </c>
      <c r="J59" s="201" t="str">
        <f t="shared" si="1"/>
        <v/>
      </c>
      <c r="K59" s="201"/>
      <c r="L59" s="201"/>
      <c r="Z59" s="203">
        <v>3200540</v>
      </c>
    </row>
    <row r="60" spans="1:26" x14ac:dyDescent="0.25">
      <c r="A60" s="47">
        <v>56</v>
      </c>
      <c r="B60" s="188" t="s">
        <v>470</v>
      </c>
      <c r="C60" s="187">
        <f t="shared" si="2"/>
        <v>43829</v>
      </c>
      <c r="D60" s="201"/>
      <c r="E60" s="201"/>
      <c r="F60" s="201"/>
      <c r="G60" s="201"/>
      <c r="H60" s="180" t="str">
        <f>IF(G60="","",(VLOOKUP(Z60,'Reference List'!$B$3:$D$173,2,FALSE)))</f>
        <v/>
      </c>
      <c r="I60" s="181" t="str">
        <f>IF(G60="","",(VLOOKUP(Z60,'Reference List'!$B$3:$F$202,5,FALSE)))</f>
        <v/>
      </c>
      <c r="J60" s="201" t="str">
        <f t="shared" si="1"/>
        <v/>
      </c>
      <c r="K60" s="201"/>
      <c r="L60" s="201"/>
      <c r="Z60" s="203">
        <v>3200540</v>
      </c>
    </row>
    <row r="61" spans="1:26" x14ac:dyDescent="0.25">
      <c r="A61" s="59">
        <v>57</v>
      </c>
      <c r="B61" s="188" t="s">
        <v>471</v>
      </c>
      <c r="C61" s="187">
        <f t="shared" si="2"/>
        <v>43829</v>
      </c>
      <c r="D61" s="201"/>
      <c r="E61" s="201"/>
      <c r="F61" s="201"/>
      <c r="G61" s="201"/>
      <c r="H61" s="180" t="str">
        <f>IF(G61="","",(VLOOKUP(Z61,'Reference List'!$B$3:$D$173,2,FALSE)))</f>
        <v/>
      </c>
      <c r="I61" s="181" t="str">
        <f>IF(G61="","",(VLOOKUP(Z61,'Reference List'!$B$3:$F$202,5,FALSE)))</f>
        <v/>
      </c>
      <c r="J61" s="201" t="str">
        <f t="shared" si="1"/>
        <v/>
      </c>
      <c r="K61" s="201"/>
      <c r="L61" s="201"/>
      <c r="Z61" s="203">
        <v>3200540</v>
      </c>
    </row>
    <row r="62" spans="1:26" x14ac:dyDescent="0.25">
      <c r="A62" s="47">
        <v>58</v>
      </c>
      <c r="B62" s="188" t="s">
        <v>472</v>
      </c>
      <c r="C62" s="187">
        <f t="shared" si="2"/>
        <v>43829</v>
      </c>
      <c r="D62" s="201"/>
      <c r="E62" s="201"/>
      <c r="F62" s="201"/>
      <c r="G62" s="201"/>
      <c r="H62" s="180" t="str">
        <f>IF(G62="","",(VLOOKUP(Z62,'Reference List'!$B$3:$D$173,2,FALSE)))</f>
        <v/>
      </c>
      <c r="I62" s="181" t="str">
        <f>IF(G62="","",(VLOOKUP(Z62,'Reference List'!$B$3:$F$202,5,FALSE)))</f>
        <v/>
      </c>
      <c r="J62" s="201" t="str">
        <f t="shared" si="1"/>
        <v/>
      </c>
      <c r="K62" s="201"/>
      <c r="L62" s="201"/>
      <c r="Z62" s="203">
        <v>3200540</v>
      </c>
    </row>
    <row r="63" spans="1:26" x14ac:dyDescent="0.25">
      <c r="A63" s="59">
        <v>59</v>
      </c>
      <c r="B63" s="188" t="s">
        <v>473</v>
      </c>
      <c r="C63" s="187">
        <f t="shared" si="2"/>
        <v>43829</v>
      </c>
      <c r="D63" s="201"/>
      <c r="E63" s="201"/>
      <c r="F63" s="201"/>
      <c r="G63" s="201"/>
      <c r="H63" s="180" t="str">
        <f>IF(G63="","",(VLOOKUP(Z63,'Reference List'!$B$3:$D$173,2,FALSE)))</f>
        <v/>
      </c>
      <c r="I63" s="181" t="str">
        <f>IF(G63="","",(VLOOKUP(Z63,'Reference List'!$B$3:$F$202,5,FALSE)))</f>
        <v/>
      </c>
      <c r="J63" s="201" t="str">
        <f t="shared" si="1"/>
        <v/>
      </c>
      <c r="K63" s="201"/>
      <c r="L63" s="201"/>
      <c r="Z63" s="203">
        <v>3200540</v>
      </c>
    </row>
    <row r="64" spans="1:26" x14ac:dyDescent="0.25">
      <c r="A64" s="47">
        <v>60</v>
      </c>
      <c r="B64" s="188" t="s">
        <v>474</v>
      </c>
      <c r="C64" s="187">
        <f t="shared" si="2"/>
        <v>43829</v>
      </c>
      <c r="D64" s="201"/>
      <c r="E64" s="201"/>
      <c r="F64" s="201"/>
      <c r="G64" s="201"/>
      <c r="H64" s="180" t="str">
        <f>IF(G64="","",(VLOOKUP(Z64,'Reference List'!$B$3:$D$173,2,FALSE)))</f>
        <v/>
      </c>
      <c r="I64" s="181" t="str">
        <f>IF(G64="","",(VLOOKUP(Z64,'Reference List'!$B$3:$F$202,5,FALSE)))</f>
        <v/>
      </c>
      <c r="J64" s="201" t="str">
        <f t="shared" si="1"/>
        <v/>
      </c>
      <c r="K64" s="201"/>
      <c r="L64" s="201"/>
      <c r="Z64" s="203">
        <v>3200540</v>
      </c>
    </row>
    <row r="65" spans="1:26" x14ac:dyDescent="0.25">
      <c r="A65" s="59">
        <v>61</v>
      </c>
      <c r="B65" s="188" t="s">
        <v>475</v>
      </c>
      <c r="C65" s="187">
        <f t="shared" si="2"/>
        <v>43829</v>
      </c>
      <c r="D65" s="201"/>
      <c r="E65" s="201"/>
      <c r="F65" s="201"/>
      <c r="G65" s="201"/>
      <c r="H65" s="180" t="str">
        <f>IF(G65="","",(VLOOKUP(Z65,'Reference List'!$B$3:$D$173,2,FALSE)))</f>
        <v/>
      </c>
      <c r="I65" s="181" t="str">
        <f>IF(G65="","",(VLOOKUP(Z65,'Reference List'!$B$3:$F$202,5,FALSE)))</f>
        <v/>
      </c>
      <c r="J65" s="201" t="str">
        <f t="shared" si="1"/>
        <v/>
      </c>
      <c r="K65" s="201"/>
      <c r="L65" s="201"/>
      <c r="Z65" s="203">
        <v>3200540</v>
      </c>
    </row>
    <row r="66" spans="1:26" x14ac:dyDescent="0.25">
      <c r="A66" s="47">
        <v>62</v>
      </c>
      <c r="B66" s="188" t="s">
        <v>476</v>
      </c>
      <c r="C66" s="187">
        <f t="shared" si="2"/>
        <v>43829</v>
      </c>
      <c r="D66" s="201"/>
      <c r="E66" s="201"/>
      <c r="F66" s="201"/>
      <c r="G66" s="201"/>
      <c r="H66" s="180" t="str">
        <f>IF(G66="","",(VLOOKUP(Z66,'Reference List'!$B$3:$D$173,2,FALSE)))</f>
        <v/>
      </c>
      <c r="I66" s="181" t="str">
        <f>IF(G66="","",(VLOOKUP(Z66,'Reference List'!$B$3:$F$202,5,FALSE)))</f>
        <v/>
      </c>
      <c r="J66" s="201" t="str">
        <f t="shared" si="1"/>
        <v/>
      </c>
      <c r="K66" s="201"/>
      <c r="L66" s="201"/>
      <c r="Z66" s="203">
        <v>3200540</v>
      </c>
    </row>
    <row r="67" spans="1:26" x14ac:dyDescent="0.25">
      <c r="A67" s="59">
        <v>63</v>
      </c>
      <c r="B67" s="188" t="s">
        <v>477</v>
      </c>
      <c r="C67" s="187">
        <f t="shared" si="2"/>
        <v>43829</v>
      </c>
      <c r="D67" s="201"/>
      <c r="E67" s="201"/>
      <c r="F67" s="201"/>
      <c r="G67" s="201"/>
      <c r="H67" s="180" t="str">
        <f>IF(G67="","",(VLOOKUP(Z67,'Reference List'!$B$3:$D$173,2,FALSE)))</f>
        <v/>
      </c>
      <c r="I67" s="181" t="str">
        <f>IF(G67="","",(VLOOKUP(Z67,'Reference List'!$B$3:$F$202,5,FALSE)))</f>
        <v/>
      </c>
      <c r="J67" s="201" t="str">
        <f t="shared" si="1"/>
        <v/>
      </c>
      <c r="K67" s="201"/>
      <c r="L67" s="201"/>
      <c r="Z67" s="203">
        <v>3200540</v>
      </c>
    </row>
    <row r="68" spans="1:26" x14ac:dyDescent="0.25">
      <c r="A68" s="47">
        <v>64</v>
      </c>
      <c r="B68" s="188" t="s">
        <v>478</v>
      </c>
      <c r="C68" s="187">
        <f t="shared" si="2"/>
        <v>43829</v>
      </c>
      <c r="D68" s="201"/>
      <c r="E68" s="201"/>
      <c r="F68" s="201"/>
      <c r="G68" s="201"/>
      <c r="H68" s="180" t="str">
        <f>IF(G68="","",(VLOOKUP(Z68,'Reference List'!$B$3:$D$173,2,FALSE)))</f>
        <v/>
      </c>
      <c r="I68" s="181" t="str">
        <f>IF(G68="","",(VLOOKUP(Z68,'Reference List'!$B$3:$F$202,5,FALSE)))</f>
        <v/>
      </c>
      <c r="J68" s="201" t="str">
        <f t="shared" si="1"/>
        <v/>
      </c>
      <c r="K68" s="201"/>
      <c r="L68" s="201"/>
      <c r="Z68" s="203">
        <v>3200540</v>
      </c>
    </row>
    <row r="69" spans="1:26" x14ac:dyDescent="0.25">
      <c r="A69" s="59">
        <v>65</v>
      </c>
      <c r="B69" s="188" t="s">
        <v>479</v>
      </c>
      <c r="C69" s="187">
        <f t="shared" si="2"/>
        <v>43829</v>
      </c>
      <c r="D69" s="201"/>
      <c r="E69" s="201"/>
      <c r="F69" s="201"/>
      <c r="G69" s="201"/>
      <c r="H69" s="180" t="str">
        <f>IF(G69="","",(VLOOKUP(Z69,'Reference List'!$B$3:$D$173,2,FALSE)))</f>
        <v/>
      </c>
      <c r="I69" s="181" t="str">
        <f>IF(G69="","",(VLOOKUP(Z69,'Reference List'!$B$3:$F$202,5,FALSE)))</f>
        <v/>
      </c>
      <c r="J69" s="201" t="str">
        <f t="shared" si="1"/>
        <v/>
      </c>
      <c r="K69" s="201"/>
      <c r="L69" s="201"/>
      <c r="Z69" s="203">
        <v>3200540</v>
      </c>
    </row>
    <row r="70" spans="1:26" x14ac:dyDescent="0.25">
      <c r="A70" s="47">
        <v>66</v>
      </c>
      <c r="B70" s="188" t="s">
        <v>480</v>
      </c>
      <c r="C70" s="187">
        <f t="shared" si="2"/>
        <v>43829</v>
      </c>
      <c r="D70" s="201"/>
      <c r="E70" s="201"/>
      <c r="F70" s="201"/>
      <c r="G70" s="201"/>
      <c r="H70" s="180" t="str">
        <f>IF(G70="","",(VLOOKUP(Z70,'Reference List'!$B$3:$D$173,2,FALSE)))</f>
        <v/>
      </c>
      <c r="I70" s="181" t="str">
        <f>IF(G70="","",(VLOOKUP(Z70,'Reference List'!$B$3:$F$202,5,FALSE)))</f>
        <v/>
      </c>
      <c r="J70" s="201" t="str">
        <f t="shared" si="1"/>
        <v/>
      </c>
      <c r="K70" s="201"/>
      <c r="L70" s="201"/>
      <c r="Z70" s="203">
        <v>3200540</v>
      </c>
    </row>
    <row r="71" spans="1:26" x14ac:dyDescent="0.25">
      <c r="A71" s="59">
        <v>67</v>
      </c>
      <c r="B71" s="188" t="s">
        <v>481</v>
      </c>
      <c r="C71" s="187">
        <f t="shared" si="2"/>
        <v>43829</v>
      </c>
      <c r="D71" s="201"/>
      <c r="E71" s="201"/>
      <c r="F71" s="201"/>
      <c r="G71" s="201"/>
      <c r="H71" s="180" t="str">
        <f>IF(G71="","",(VLOOKUP(Z71,'Reference List'!$B$3:$D$173,2,FALSE)))</f>
        <v/>
      </c>
      <c r="I71" s="181" t="str">
        <f>IF(G71="","",(VLOOKUP(Z71,'Reference List'!$B$3:$F$202,5,FALSE)))</f>
        <v/>
      </c>
      <c r="J71" s="201" t="str">
        <f t="shared" si="1"/>
        <v/>
      </c>
      <c r="K71" s="201"/>
      <c r="L71" s="201"/>
      <c r="Z71" s="203">
        <v>3200540</v>
      </c>
    </row>
    <row r="72" spans="1:26" x14ac:dyDescent="0.25">
      <c r="A72" s="47">
        <v>68</v>
      </c>
      <c r="B72" s="188" t="s">
        <v>482</v>
      </c>
      <c r="C72" s="187">
        <f t="shared" si="2"/>
        <v>43829</v>
      </c>
      <c r="D72" s="201"/>
      <c r="E72" s="201"/>
      <c r="F72" s="201"/>
      <c r="G72" s="201"/>
      <c r="H72" s="180" t="str">
        <f>IF(G72="","",(VLOOKUP(Z72,'Reference List'!$B$3:$D$173,2,FALSE)))</f>
        <v/>
      </c>
      <c r="I72" s="181" t="str">
        <f>IF(G72="","",(VLOOKUP(Z72,'Reference List'!$B$3:$F$202,5,FALSE)))</f>
        <v/>
      </c>
      <c r="J72" s="201" t="str">
        <f t="shared" si="1"/>
        <v/>
      </c>
      <c r="K72" s="201"/>
      <c r="L72" s="201"/>
      <c r="Z72" s="203">
        <v>3200540</v>
      </c>
    </row>
    <row r="73" spans="1:26" x14ac:dyDescent="0.25">
      <c r="A73" s="59">
        <v>69</v>
      </c>
      <c r="B73" s="188" t="s">
        <v>483</v>
      </c>
      <c r="C73" s="187">
        <f t="shared" si="2"/>
        <v>43829</v>
      </c>
      <c r="D73" s="201"/>
      <c r="E73" s="201"/>
      <c r="F73" s="201"/>
      <c r="G73" s="201"/>
      <c r="H73" s="180" t="str">
        <f>IF(G73="","",(VLOOKUP(Z73,'Reference List'!$B$3:$D$173,2,FALSE)))</f>
        <v/>
      </c>
      <c r="I73" s="181" t="str">
        <f>IF(G73="","",(VLOOKUP(Z73,'Reference List'!$B$3:$F$202,5,FALSE)))</f>
        <v/>
      </c>
      <c r="J73" s="201" t="str">
        <f t="shared" si="1"/>
        <v/>
      </c>
      <c r="K73" s="201"/>
      <c r="L73" s="201"/>
      <c r="Z73" s="203">
        <v>3200540</v>
      </c>
    </row>
    <row r="74" spans="1:26" x14ac:dyDescent="0.25">
      <c r="A74" s="47">
        <v>70</v>
      </c>
      <c r="B74" s="188" t="s">
        <v>484</v>
      </c>
      <c r="C74" s="187">
        <f t="shared" si="2"/>
        <v>43829</v>
      </c>
      <c r="D74" s="201"/>
      <c r="E74" s="201"/>
      <c r="F74" s="201"/>
      <c r="G74" s="201"/>
      <c r="H74" s="180" t="str">
        <f>IF(G74="","",(VLOOKUP(Z74,'Reference List'!$B$3:$D$173,2,FALSE)))</f>
        <v/>
      </c>
      <c r="I74" s="181" t="str">
        <f>IF(G74="","",(VLOOKUP(Z74,'Reference List'!$B$3:$F$202,5,FALSE)))</f>
        <v/>
      </c>
      <c r="J74" s="201" t="str">
        <f t="shared" si="1"/>
        <v/>
      </c>
      <c r="K74" s="201"/>
      <c r="L74" s="201"/>
      <c r="Z74" s="203">
        <v>3200540</v>
      </c>
    </row>
    <row r="75" spans="1:26" x14ac:dyDescent="0.25">
      <c r="A75" s="59">
        <v>71</v>
      </c>
      <c r="B75" s="188" t="s">
        <v>485</v>
      </c>
      <c r="C75" s="187">
        <f t="shared" si="2"/>
        <v>43829</v>
      </c>
      <c r="D75" s="201"/>
      <c r="E75" s="201"/>
      <c r="F75" s="201"/>
      <c r="G75" s="201"/>
      <c r="H75" s="180" t="str">
        <f>IF(G75="","",(VLOOKUP(Z75,'Reference List'!$B$3:$D$173,2,FALSE)))</f>
        <v/>
      </c>
      <c r="I75" s="181" t="str">
        <f>IF(G75="","",(VLOOKUP(Z75,'Reference List'!$B$3:$F$202,5,FALSE)))</f>
        <v/>
      </c>
      <c r="J75" s="201" t="str">
        <f t="shared" si="1"/>
        <v/>
      </c>
      <c r="K75" s="201"/>
      <c r="L75" s="201"/>
      <c r="Z75" s="203">
        <v>3200540</v>
      </c>
    </row>
    <row r="76" spans="1:26" x14ac:dyDescent="0.25">
      <c r="A76" s="47">
        <v>72</v>
      </c>
      <c r="B76" s="188" t="s">
        <v>486</v>
      </c>
      <c r="C76" s="187">
        <f t="shared" si="2"/>
        <v>43829</v>
      </c>
      <c r="D76" s="201"/>
      <c r="E76" s="201"/>
      <c r="F76" s="201"/>
      <c r="G76" s="201"/>
      <c r="H76" s="180" t="str">
        <f>IF(G76="","",(VLOOKUP(Z76,'Reference List'!$B$3:$D$173,2,FALSE)))</f>
        <v/>
      </c>
      <c r="I76" s="181" t="str">
        <f>IF(G76="","",(VLOOKUP(Z76,'Reference List'!$B$3:$F$202,5,FALSE)))</f>
        <v/>
      </c>
      <c r="J76" s="201" t="str">
        <f t="shared" si="1"/>
        <v/>
      </c>
      <c r="K76" s="201"/>
      <c r="L76" s="201"/>
      <c r="Z76" s="203">
        <v>3200540</v>
      </c>
    </row>
    <row r="77" spans="1:26" x14ac:dyDescent="0.25">
      <c r="A77" s="59">
        <v>73</v>
      </c>
      <c r="B77" s="188" t="s">
        <v>487</v>
      </c>
      <c r="C77" s="187">
        <f t="shared" si="2"/>
        <v>43829</v>
      </c>
      <c r="D77" s="201"/>
      <c r="E77" s="201"/>
      <c r="F77" s="201"/>
      <c r="G77" s="201"/>
      <c r="H77" s="180" t="str">
        <f>IF(G77="","",(VLOOKUP(Z77,'Reference List'!$B$3:$D$173,2,FALSE)))</f>
        <v/>
      </c>
      <c r="I77" s="181" t="str">
        <f>IF(G77="","",(VLOOKUP(Z77,'Reference List'!$B$3:$F$202,5,FALSE)))</f>
        <v/>
      </c>
      <c r="J77" s="201" t="str">
        <f t="shared" si="1"/>
        <v/>
      </c>
      <c r="K77" s="201"/>
      <c r="L77" s="201"/>
      <c r="Z77" s="203">
        <v>3200540</v>
      </c>
    </row>
    <row r="78" spans="1:26" x14ac:dyDescent="0.25">
      <c r="A78" s="47">
        <v>74</v>
      </c>
      <c r="B78" s="188" t="s">
        <v>488</v>
      </c>
      <c r="C78" s="187">
        <f t="shared" si="2"/>
        <v>43829</v>
      </c>
      <c r="D78" s="201"/>
      <c r="E78" s="201"/>
      <c r="F78" s="201"/>
      <c r="G78" s="201"/>
      <c r="H78" s="180" t="str">
        <f>IF(G78="","",(VLOOKUP(Z78,'Reference List'!$B$3:$D$173,2,FALSE)))</f>
        <v/>
      </c>
      <c r="I78" s="181" t="str">
        <f>IF(G78="","",(VLOOKUP(Z78,'Reference List'!$B$3:$F$202,5,FALSE)))</f>
        <v/>
      </c>
      <c r="J78" s="201" t="str">
        <f t="shared" si="1"/>
        <v/>
      </c>
      <c r="K78" s="201"/>
      <c r="L78" s="201"/>
      <c r="Z78" s="203">
        <v>3200540</v>
      </c>
    </row>
    <row r="79" spans="1:26" x14ac:dyDescent="0.25">
      <c r="A79" s="59">
        <v>75</v>
      </c>
      <c r="B79" s="188" t="s">
        <v>489</v>
      </c>
      <c r="C79" s="187">
        <f t="shared" si="2"/>
        <v>43829</v>
      </c>
      <c r="D79" s="201"/>
      <c r="E79" s="201"/>
      <c r="F79" s="201"/>
      <c r="G79" s="201"/>
      <c r="H79" s="180" t="str">
        <f>IF(G79="","",(VLOOKUP(Z79,'Reference List'!$B$3:$D$173,2,FALSE)))</f>
        <v/>
      </c>
      <c r="I79" s="181" t="str">
        <f>IF(G79="","",(VLOOKUP(Z79,'Reference List'!$B$3:$F$202,5,FALSE)))</f>
        <v/>
      </c>
      <c r="J79" s="201" t="str">
        <f t="shared" si="1"/>
        <v/>
      </c>
      <c r="K79" s="201"/>
      <c r="L79" s="201"/>
      <c r="Z79" s="203">
        <v>3200540</v>
      </c>
    </row>
    <row r="80" spans="1:26" x14ac:dyDescent="0.25">
      <c r="A80" s="47">
        <v>76</v>
      </c>
      <c r="B80" s="188" t="s">
        <v>490</v>
      </c>
      <c r="C80" s="187">
        <f t="shared" si="2"/>
        <v>43829</v>
      </c>
      <c r="D80" s="201"/>
      <c r="E80" s="201"/>
      <c r="F80" s="201"/>
      <c r="G80" s="201"/>
      <c r="H80" s="180" t="str">
        <f>IF(G80="","",(VLOOKUP(Z80,'Reference List'!$B$3:$D$173,2,FALSE)))</f>
        <v/>
      </c>
      <c r="I80" s="181" t="str">
        <f>IF(G80="","",(VLOOKUP(Z80,'Reference List'!$B$3:$F$202,5,FALSE)))</f>
        <v/>
      </c>
      <c r="J80" s="201" t="str">
        <f t="shared" si="1"/>
        <v/>
      </c>
      <c r="K80" s="201"/>
      <c r="L80" s="201"/>
      <c r="Z80" s="203">
        <v>3200540</v>
      </c>
    </row>
    <row r="81" spans="1:26" x14ac:dyDescent="0.25">
      <c r="A81" s="59">
        <v>77</v>
      </c>
      <c r="B81" s="188" t="s">
        <v>491</v>
      </c>
      <c r="C81" s="187">
        <f t="shared" si="2"/>
        <v>43829</v>
      </c>
      <c r="D81" s="201"/>
      <c r="E81" s="201"/>
      <c r="F81" s="201"/>
      <c r="G81" s="201"/>
      <c r="H81" s="180" t="str">
        <f>IF(G81="","",(VLOOKUP(Z81,'Reference List'!$B$3:$D$173,2,FALSE)))</f>
        <v/>
      </c>
      <c r="I81" s="181" t="str">
        <f>IF(G81="","",(VLOOKUP(Z81,'Reference List'!$B$3:$F$202,5,FALSE)))</f>
        <v/>
      </c>
      <c r="J81" s="201" t="str">
        <f t="shared" si="1"/>
        <v/>
      </c>
      <c r="K81" s="201"/>
      <c r="L81" s="201"/>
      <c r="Z81" s="203">
        <v>3200540</v>
      </c>
    </row>
    <row r="82" spans="1:26" x14ac:dyDescent="0.25">
      <c r="A82" s="47">
        <v>78</v>
      </c>
      <c r="B82" s="188" t="s">
        <v>492</v>
      </c>
      <c r="C82" s="187">
        <f t="shared" si="2"/>
        <v>43829</v>
      </c>
      <c r="D82" s="201"/>
      <c r="E82" s="201"/>
      <c r="F82" s="201"/>
      <c r="G82" s="201"/>
      <c r="H82" s="180" t="str">
        <f>IF(G82="","",(VLOOKUP(Z82,'Reference List'!$B$3:$D$173,2,FALSE)))</f>
        <v/>
      </c>
      <c r="I82" s="181" t="str">
        <f>IF(G82="","",(VLOOKUP(Z82,'Reference List'!$B$3:$F$202,5,FALSE)))</f>
        <v/>
      </c>
      <c r="J82" s="201" t="str">
        <f t="shared" si="1"/>
        <v/>
      </c>
      <c r="K82" s="201"/>
      <c r="L82" s="201"/>
      <c r="Z82" s="203">
        <v>3200540</v>
      </c>
    </row>
    <row r="83" spans="1:26" x14ac:dyDescent="0.25">
      <c r="A83" s="59">
        <v>79</v>
      </c>
      <c r="B83" s="188" t="s">
        <v>493</v>
      </c>
      <c r="C83" s="187">
        <f t="shared" si="2"/>
        <v>43829</v>
      </c>
      <c r="D83" s="201"/>
      <c r="E83" s="201"/>
      <c r="F83" s="201"/>
      <c r="G83" s="201"/>
      <c r="H83" s="180" t="str">
        <f>IF(G83="","",(VLOOKUP(Z83,'Reference List'!$B$3:$D$173,2,FALSE)))</f>
        <v/>
      </c>
      <c r="I83" s="181" t="str">
        <f>IF(G83="","",(VLOOKUP(Z83,'Reference List'!$B$3:$F$202,5,FALSE)))</f>
        <v/>
      </c>
      <c r="J83" s="201" t="str">
        <f t="shared" ref="J83:J105" si="3">IF(LEFT(G83,8)="BUNNINGS","Loscam pallets only",IF(G83="MM ELECTRICAL BIBRA LAKE WA","Plain pallets only",""))</f>
        <v/>
      </c>
      <c r="K83" s="201"/>
      <c r="L83" s="201"/>
      <c r="Z83" s="203">
        <v>3200540</v>
      </c>
    </row>
    <row r="84" spans="1:26" x14ac:dyDescent="0.25">
      <c r="A84" s="47">
        <v>80</v>
      </c>
      <c r="B84" s="188" t="s">
        <v>494</v>
      </c>
      <c r="C84" s="187">
        <f t="shared" si="2"/>
        <v>43829</v>
      </c>
      <c r="D84" s="201"/>
      <c r="E84" s="201"/>
      <c r="F84" s="201"/>
      <c r="G84" s="201"/>
      <c r="H84" s="180" t="str">
        <f>IF(G84="","",(VLOOKUP(Z84,'Reference List'!$B$3:$D$173,2,FALSE)))</f>
        <v/>
      </c>
      <c r="I84" s="181" t="str">
        <f>IF(G84="","",(VLOOKUP(Z84,'Reference List'!$B$3:$F$202,5,FALSE)))</f>
        <v/>
      </c>
      <c r="J84" s="201" t="str">
        <f t="shared" si="3"/>
        <v/>
      </c>
      <c r="K84" s="201"/>
      <c r="L84" s="201"/>
      <c r="Z84" s="203">
        <v>3200540</v>
      </c>
    </row>
    <row r="85" spans="1:26" x14ac:dyDescent="0.25">
      <c r="A85" s="59">
        <v>81</v>
      </c>
      <c r="B85" s="188" t="s">
        <v>495</v>
      </c>
      <c r="C85" s="187">
        <f t="shared" si="2"/>
        <v>43829</v>
      </c>
      <c r="D85" s="201"/>
      <c r="E85" s="201"/>
      <c r="F85" s="201"/>
      <c r="G85" s="201"/>
      <c r="H85" s="180" t="str">
        <f>IF(G85="","",(VLOOKUP(Z85,'Reference List'!$B$3:$D$173,2,FALSE)))</f>
        <v/>
      </c>
      <c r="I85" s="181" t="str">
        <f>IF(G85="","",(VLOOKUP(Z85,'Reference List'!$B$3:$F$202,5,FALSE)))</f>
        <v/>
      </c>
      <c r="J85" s="201" t="str">
        <f t="shared" si="3"/>
        <v/>
      </c>
      <c r="K85" s="201"/>
      <c r="L85" s="201"/>
      <c r="Z85" s="203">
        <v>3200540</v>
      </c>
    </row>
    <row r="86" spans="1:26" x14ac:dyDescent="0.25">
      <c r="A86" s="47">
        <v>82</v>
      </c>
      <c r="B86" s="188" t="s">
        <v>496</v>
      </c>
      <c r="C86" s="187">
        <f t="shared" si="2"/>
        <v>43829</v>
      </c>
      <c r="D86" s="201"/>
      <c r="E86" s="201"/>
      <c r="F86" s="201"/>
      <c r="G86" s="201"/>
      <c r="H86" s="180" t="str">
        <f>IF(G86="","",(VLOOKUP(Z86,'Reference List'!$B$3:$D$173,2,FALSE)))</f>
        <v/>
      </c>
      <c r="I86" s="181" t="str">
        <f>IF(G86="","",(VLOOKUP(Z86,'Reference List'!$B$3:$F$202,5,FALSE)))</f>
        <v/>
      </c>
      <c r="J86" s="201" t="str">
        <f t="shared" si="3"/>
        <v/>
      </c>
      <c r="K86" s="201"/>
      <c r="L86" s="201"/>
      <c r="Z86" s="203">
        <v>3200540</v>
      </c>
    </row>
    <row r="87" spans="1:26" x14ac:dyDescent="0.25">
      <c r="A87" s="59">
        <v>83</v>
      </c>
      <c r="B87" s="188" t="s">
        <v>497</v>
      </c>
      <c r="C87" s="187">
        <f t="shared" si="2"/>
        <v>43829</v>
      </c>
      <c r="D87" s="201"/>
      <c r="E87" s="201"/>
      <c r="F87" s="201"/>
      <c r="G87" s="201"/>
      <c r="H87" s="180" t="str">
        <f>IF(G87="","",(VLOOKUP(Z87,'Reference List'!$B$3:$D$173,2,FALSE)))</f>
        <v/>
      </c>
      <c r="I87" s="181" t="str">
        <f>IF(G87="","",(VLOOKUP(Z87,'Reference List'!$B$3:$F$202,5,FALSE)))</f>
        <v/>
      </c>
      <c r="J87" s="201" t="str">
        <f t="shared" si="3"/>
        <v/>
      </c>
      <c r="K87" s="201"/>
      <c r="L87" s="201"/>
      <c r="Z87" s="203">
        <v>3200540</v>
      </c>
    </row>
    <row r="88" spans="1:26" x14ac:dyDescent="0.25">
      <c r="A88" s="47">
        <v>84</v>
      </c>
      <c r="B88" s="188" t="s">
        <v>498</v>
      </c>
      <c r="C88" s="187">
        <f t="shared" si="2"/>
        <v>43829</v>
      </c>
      <c r="D88" s="201"/>
      <c r="E88" s="201"/>
      <c r="F88" s="201"/>
      <c r="G88" s="201"/>
      <c r="H88" s="180" t="str">
        <f>IF(G88="","",(VLOOKUP(Z88,'Reference List'!$B$3:$D$173,2,FALSE)))</f>
        <v/>
      </c>
      <c r="I88" s="181" t="str">
        <f>IF(G88="","",(VLOOKUP(Z88,'Reference List'!$B$3:$F$202,5,FALSE)))</f>
        <v/>
      </c>
      <c r="J88" s="201" t="str">
        <f t="shared" si="3"/>
        <v/>
      </c>
      <c r="K88" s="201"/>
      <c r="L88" s="201"/>
      <c r="Z88" s="203">
        <v>3200540</v>
      </c>
    </row>
    <row r="89" spans="1:26" x14ac:dyDescent="0.25">
      <c r="A89" s="59">
        <v>85</v>
      </c>
      <c r="B89" s="188" t="s">
        <v>499</v>
      </c>
      <c r="C89" s="187">
        <f t="shared" si="2"/>
        <v>43829</v>
      </c>
      <c r="D89" s="201"/>
      <c r="E89" s="201"/>
      <c r="F89" s="201"/>
      <c r="G89" s="201"/>
      <c r="H89" s="180" t="str">
        <f>IF(G89="","",(VLOOKUP(Z89,'Reference List'!$B$3:$D$173,2,FALSE)))</f>
        <v/>
      </c>
      <c r="I89" s="181" t="str">
        <f>IF(G89="","",(VLOOKUP(Z89,'Reference List'!$B$3:$F$202,5,FALSE)))</f>
        <v/>
      </c>
      <c r="J89" s="201" t="str">
        <f t="shared" si="3"/>
        <v/>
      </c>
      <c r="K89" s="201"/>
      <c r="L89" s="201"/>
      <c r="Z89" s="203">
        <v>3200540</v>
      </c>
    </row>
    <row r="90" spans="1:26" x14ac:dyDescent="0.25">
      <c r="A90" s="47">
        <v>86</v>
      </c>
      <c r="B90" s="188" t="s">
        <v>500</v>
      </c>
      <c r="C90" s="187">
        <f t="shared" si="2"/>
        <v>43829</v>
      </c>
      <c r="D90" s="201"/>
      <c r="E90" s="201"/>
      <c r="F90" s="201"/>
      <c r="G90" s="201"/>
      <c r="H90" s="180" t="str">
        <f>IF(G90="","",(VLOOKUP(Z90,'Reference List'!$B$3:$D$173,2,FALSE)))</f>
        <v/>
      </c>
      <c r="I90" s="181" t="str">
        <f>IF(G90="","",(VLOOKUP(Z90,'Reference List'!$B$3:$F$202,5,FALSE)))</f>
        <v/>
      </c>
      <c r="J90" s="201" t="str">
        <f t="shared" si="3"/>
        <v/>
      </c>
      <c r="K90" s="201"/>
      <c r="L90" s="201"/>
      <c r="Z90" s="203">
        <v>3200540</v>
      </c>
    </row>
    <row r="91" spans="1:26" x14ac:dyDescent="0.25">
      <c r="A91" s="59">
        <v>87</v>
      </c>
      <c r="B91" s="188" t="s">
        <v>501</v>
      </c>
      <c r="C91" s="187">
        <f t="shared" ref="C91:C105" si="4">+C90</f>
        <v>43829</v>
      </c>
      <c r="D91" s="201"/>
      <c r="E91" s="201"/>
      <c r="F91" s="201"/>
      <c r="G91" s="201"/>
      <c r="H91" s="180" t="str">
        <f>IF(G91="","",(VLOOKUP(Z91,'Reference List'!$B$3:$D$173,2,FALSE)))</f>
        <v/>
      </c>
      <c r="I91" s="181" t="str">
        <f>IF(G91="","",(VLOOKUP(Z91,'Reference List'!$B$3:$F$202,5,FALSE)))</f>
        <v/>
      </c>
      <c r="J91" s="201" t="str">
        <f t="shared" si="3"/>
        <v/>
      </c>
      <c r="K91" s="201"/>
      <c r="L91" s="201"/>
      <c r="Z91" s="203">
        <v>3200540</v>
      </c>
    </row>
    <row r="92" spans="1:26" x14ac:dyDescent="0.25">
      <c r="A92" s="47">
        <v>88</v>
      </c>
      <c r="B92" s="188" t="s">
        <v>502</v>
      </c>
      <c r="C92" s="187">
        <f t="shared" si="4"/>
        <v>43829</v>
      </c>
      <c r="D92" s="201"/>
      <c r="E92" s="201"/>
      <c r="F92" s="201"/>
      <c r="G92" s="201"/>
      <c r="H92" s="180" t="str">
        <f>IF(G92="","",(VLOOKUP(Z92,'Reference List'!$B$3:$D$173,2,FALSE)))</f>
        <v/>
      </c>
      <c r="I92" s="181" t="str">
        <f>IF(G92="","",(VLOOKUP(Z92,'Reference List'!$B$3:$F$202,5,FALSE)))</f>
        <v/>
      </c>
      <c r="J92" s="201" t="str">
        <f t="shared" si="3"/>
        <v/>
      </c>
      <c r="K92" s="201"/>
      <c r="L92" s="201"/>
      <c r="Z92" s="203">
        <v>3200540</v>
      </c>
    </row>
    <row r="93" spans="1:26" x14ac:dyDescent="0.25">
      <c r="A93" s="59">
        <v>89</v>
      </c>
      <c r="B93" s="188" t="s">
        <v>503</v>
      </c>
      <c r="C93" s="187">
        <f t="shared" si="4"/>
        <v>43829</v>
      </c>
      <c r="D93" s="201"/>
      <c r="E93" s="201"/>
      <c r="F93" s="201"/>
      <c r="G93" s="201"/>
      <c r="H93" s="180" t="str">
        <f>IF(G93="","",(VLOOKUP(Z93,'Reference List'!$B$3:$D$173,2,FALSE)))</f>
        <v/>
      </c>
      <c r="I93" s="181" t="str">
        <f>IF(G93="","",(VLOOKUP(Z93,'Reference List'!$B$3:$F$202,5,FALSE)))</f>
        <v/>
      </c>
      <c r="J93" s="201" t="str">
        <f t="shared" si="3"/>
        <v/>
      </c>
      <c r="K93" s="201"/>
      <c r="L93" s="201"/>
      <c r="Z93" s="203">
        <v>3200540</v>
      </c>
    </row>
    <row r="94" spans="1:26" x14ac:dyDescent="0.25">
      <c r="A94" s="47">
        <v>90</v>
      </c>
      <c r="B94" s="188" t="s">
        <v>504</v>
      </c>
      <c r="C94" s="187">
        <f t="shared" si="4"/>
        <v>43829</v>
      </c>
      <c r="D94" s="201"/>
      <c r="E94" s="201"/>
      <c r="F94" s="201"/>
      <c r="G94" s="201"/>
      <c r="H94" s="180" t="str">
        <f>IF(G94="","",(VLOOKUP(Z94,'Reference List'!$B$3:$D$173,2,FALSE)))</f>
        <v/>
      </c>
      <c r="I94" s="181" t="str">
        <f>IF(G94="","",(VLOOKUP(Z94,'Reference List'!$B$3:$F$202,5,FALSE)))</f>
        <v/>
      </c>
      <c r="J94" s="201" t="str">
        <f t="shared" si="3"/>
        <v/>
      </c>
      <c r="K94" s="201"/>
      <c r="L94" s="201"/>
      <c r="Z94" s="203">
        <v>3200540</v>
      </c>
    </row>
    <row r="95" spans="1:26" x14ac:dyDescent="0.25">
      <c r="A95" s="59">
        <v>91</v>
      </c>
      <c r="B95" s="188" t="s">
        <v>505</v>
      </c>
      <c r="C95" s="187">
        <f t="shared" si="4"/>
        <v>43829</v>
      </c>
      <c r="D95" s="201"/>
      <c r="E95" s="201"/>
      <c r="F95" s="201"/>
      <c r="G95" s="201"/>
      <c r="H95" s="180" t="str">
        <f>IF(G95="","",(VLOOKUP(Z95,'Reference List'!$B$3:$D$173,2,FALSE)))</f>
        <v/>
      </c>
      <c r="I95" s="181" t="str">
        <f>IF(G95="","",(VLOOKUP(Z95,'Reference List'!$B$3:$F$202,5,FALSE)))</f>
        <v/>
      </c>
      <c r="J95" s="201" t="str">
        <f t="shared" si="3"/>
        <v/>
      </c>
      <c r="K95" s="201"/>
      <c r="L95" s="201"/>
      <c r="Z95" s="203">
        <v>3200540</v>
      </c>
    </row>
    <row r="96" spans="1:26" x14ac:dyDescent="0.25">
      <c r="A96" s="47">
        <v>92</v>
      </c>
      <c r="B96" s="188" t="s">
        <v>506</v>
      </c>
      <c r="C96" s="187">
        <f t="shared" si="4"/>
        <v>43829</v>
      </c>
      <c r="D96" s="201"/>
      <c r="E96" s="201"/>
      <c r="F96" s="201"/>
      <c r="G96" s="201"/>
      <c r="H96" s="180" t="str">
        <f>IF(G96="","",(VLOOKUP(Z96,'Reference List'!$B$3:$D$173,2,FALSE)))</f>
        <v/>
      </c>
      <c r="I96" s="181" t="str">
        <f>IF(G96="","",(VLOOKUP(Z96,'Reference List'!$B$3:$F$202,5,FALSE)))</f>
        <v/>
      </c>
      <c r="J96" s="201" t="str">
        <f t="shared" si="3"/>
        <v/>
      </c>
      <c r="K96" s="201"/>
      <c r="L96" s="201"/>
      <c r="Z96" s="203">
        <v>3200540</v>
      </c>
    </row>
    <row r="97" spans="1:26" x14ac:dyDescent="0.25">
      <c r="A97" s="59">
        <v>93</v>
      </c>
      <c r="B97" s="188" t="s">
        <v>507</v>
      </c>
      <c r="C97" s="187">
        <f t="shared" si="4"/>
        <v>43829</v>
      </c>
      <c r="D97" s="201"/>
      <c r="E97" s="201"/>
      <c r="F97" s="201"/>
      <c r="G97" s="201"/>
      <c r="H97" s="180" t="str">
        <f>IF(G97="","",(VLOOKUP(Z97,'Reference List'!$B$3:$D$173,2,FALSE)))</f>
        <v/>
      </c>
      <c r="I97" s="181" t="str">
        <f>IF(G97="","",(VLOOKUP(Z97,'Reference List'!$B$3:$F$202,5,FALSE)))</f>
        <v/>
      </c>
      <c r="J97" s="201" t="str">
        <f t="shared" si="3"/>
        <v/>
      </c>
      <c r="K97" s="201"/>
      <c r="L97" s="201"/>
      <c r="Z97" s="203">
        <v>3200540</v>
      </c>
    </row>
    <row r="98" spans="1:26" x14ac:dyDescent="0.25">
      <c r="A98" s="47">
        <v>94</v>
      </c>
      <c r="B98" s="188" t="s">
        <v>508</v>
      </c>
      <c r="C98" s="187">
        <f t="shared" si="4"/>
        <v>43829</v>
      </c>
      <c r="D98" s="201"/>
      <c r="E98" s="201"/>
      <c r="F98" s="201"/>
      <c r="G98" s="201"/>
      <c r="H98" s="180" t="str">
        <f>IF(G98="","",(VLOOKUP(Z98,'Reference List'!$B$3:$D$173,2,FALSE)))</f>
        <v/>
      </c>
      <c r="I98" s="181" t="str">
        <f>IF(G98="","",(VLOOKUP(Z98,'Reference List'!$B$3:$F$202,5,FALSE)))</f>
        <v/>
      </c>
      <c r="J98" s="201" t="str">
        <f t="shared" si="3"/>
        <v/>
      </c>
      <c r="K98" s="201"/>
      <c r="L98" s="201"/>
      <c r="Z98" s="203">
        <v>3200540</v>
      </c>
    </row>
    <row r="99" spans="1:26" x14ac:dyDescent="0.25">
      <c r="A99" s="59">
        <v>95</v>
      </c>
      <c r="B99" s="188" t="s">
        <v>509</v>
      </c>
      <c r="C99" s="187">
        <f t="shared" si="4"/>
        <v>43829</v>
      </c>
      <c r="D99" s="201"/>
      <c r="E99" s="201"/>
      <c r="F99" s="201"/>
      <c r="G99" s="201"/>
      <c r="H99" s="180" t="str">
        <f>IF(G99="","",(VLOOKUP(Z99,'Reference List'!$B$3:$D$173,2,FALSE)))</f>
        <v/>
      </c>
      <c r="I99" s="181" t="str">
        <f>IF(G99="","",(VLOOKUP(Z99,'Reference List'!$B$3:$F$202,5,FALSE)))</f>
        <v/>
      </c>
      <c r="J99" s="201" t="str">
        <f t="shared" si="3"/>
        <v/>
      </c>
      <c r="K99" s="201"/>
      <c r="L99" s="201"/>
      <c r="Z99" s="203">
        <v>3200540</v>
      </c>
    </row>
    <row r="100" spans="1:26" x14ac:dyDescent="0.25">
      <c r="A100" s="47">
        <v>96</v>
      </c>
      <c r="B100" s="188" t="s">
        <v>510</v>
      </c>
      <c r="C100" s="187">
        <f t="shared" si="4"/>
        <v>43829</v>
      </c>
      <c r="D100" s="201"/>
      <c r="E100" s="201"/>
      <c r="F100" s="201"/>
      <c r="G100" s="201"/>
      <c r="H100" s="180" t="str">
        <f>IF(G100="","",(VLOOKUP(Z100,'Reference List'!$B$3:$D$173,2,FALSE)))</f>
        <v/>
      </c>
      <c r="I100" s="181" t="str">
        <f>IF(G100="","",(VLOOKUP(Z100,'Reference List'!$B$3:$F$202,5,FALSE)))</f>
        <v/>
      </c>
      <c r="J100" s="201" t="str">
        <f t="shared" si="3"/>
        <v/>
      </c>
      <c r="K100" s="201"/>
      <c r="L100" s="201"/>
      <c r="Z100" s="203">
        <v>3200540</v>
      </c>
    </row>
    <row r="101" spans="1:26" x14ac:dyDescent="0.25">
      <c r="A101" s="59">
        <v>97</v>
      </c>
      <c r="B101" s="188" t="s">
        <v>511</v>
      </c>
      <c r="C101" s="187">
        <f t="shared" si="4"/>
        <v>43829</v>
      </c>
      <c r="D101" s="201"/>
      <c r="E101" s="201"/>
      <c r="F101" s="201"/>
      <c r="G101" s="201"/>
      <c r="H101" s="180" t="str">
        <f>IF(G101="","",(VLOOKUP(Z101,'Reference List'!$B$3:$D$173,2,FALSE)))</f>
        <v/>
      </c>
      <c r="I101" s="181" t="str">
        <f>IF(G101="","",(VLOOKUP(Z101,'Reference List'!$B$3:$F$202,5,FALSE)))</f>
        <v/>
      </c>
      <c r="J101" s="201" t="str">
        <f t="shared" si="3"/>
        <v/>
      </c>
      <c r="K101" s="201"/>
      <c r="L101" s="201"/>
      <c r="Z101" s="203">
        <v>3200540</v>
      </c>
    </row>
    <row r="102" spans="1:26" x14ac:dyDescent="0.25">
      <c r="A102" s="47">
        <v>98</v>
      </c>
      <c r="B102" s="188" t="s">
        <v>512</v>
      </c>
      <c r="C102" s="187">
        <f t="shared" si="4"/>
        <v>43829</v>
      </c>
      <c r="D102" s="201"/>
      <c r="E102" s="201"/>
      <c r="F102" s="201"/>
      <c r="G102" s="201"/>
      <c r="H102" s="180" t="str">
        <f>IF(G102="","",(VLOOKUP(Z102,'Reference List'!$B$3:$D$173,2,FALSE)))</f>
        <v/>
      </c>
      <c r="I102" s="181" t="str">
        <f>IF(G102="","",(VLOOKUP(Z102,'Reference List'!$B$3:$F$202,5,FALSE)))</f>
        <v/>
      </c>
      <c r="J102" s="201" t="str">
        <f t="shared" si="3"/>
        <v/>
      </c>
      <c r="K102" s="201"/>
      <c r="L102" s="201"/>
      <c r="Z102" s="203">
        <v>3200540</v>
      </c>
    </row>
    <row r="103" spans="1:26" x14ac:dyDescent="0.25">
      <c r="A103" s="59">
        <v>99</v>
      </c>
      <c r="B103" s="188" t="s">
        <v>513</v>
      </c>
      <c r="C103" s="187">
        <f t="shared" si="4"/>
        <v>43829</v>
      </c>
      <c r="D103" s="201"/>
      <c r="E103" s="201"/>
      <c r="F103" s="201"/>
      <c r="G103" s="201"/>
      <c r="H103" s="180" t="str">
        <f>IF(G103="","",(VLOOKUP(Z103,'Reference List'!$B$3:$D$173,2,FALSE)))</f>
        <v/>
      </c>
      <c r="I103" s="181" t="str">
        <f>IF(G103="","",(VLOOKUP(Z103,'Reference List'!$B$3:$F$202,5,FALSE)))</f>
        <v/>
      </c>
      <c r="J103" s="201" t="str">
        <f t="shared" si="3"/>
        <v/>
      </c>
      <c r="K103" s="201"/>
      <c r="L103" s="201"/>
      <c r="Z103" s="203">
        <v>3200540</v>
      </c>
    </row>
    <row r="104" spans="1:26" x14ac:dyDescent="0.25">
      <c r="A104" s="47">
        <v>100</v>
      </c>
      <c r="B104" s="188" t="s">
        <v>514</v>
      </c>
      <c r="C104" s="187">
        <f t="shared" si="4"/>
        <v>43829</v>
      </c>
      <c r="D104" s="201"/>
      <c r="E104" s="201"/>
      <c r="F104" s="201"/>
      <c r="G104" s="201"/>
      <c r="H104" s="180" t="str">
        <f>IF(G104="","",(VLOOKUP(Z104,'Reference List'!$B$3:$D$173,2,FALSE)))</f>
        <v/>
      </c>
      <c r="I104" s="181" t="str">
        <f>IF(G104="","",(VLOOKUP(Z104,'Reference List'!$B$3:$F$202,5,FALSE)))</f>
        <v/>
      </c>
      <c r="J104" s="201" t="str">
        <f t="shared" si="3"/>
        <v/>
      </c>
      <c r="K104" s="201"/>
      <c r="L104" s="201"/>
      <c r="Z104" s="203">
        <v>3200540</v>
      </c>
    </row>
    <row r="105" spans="1:26" x14ac:dyDescent="0.25">
      <c r="A105" s="59">
        <v>101</v>
      </c>
      <c r="B105" s="188" t="s">
        <v>515</v>
      </c>
      <c r="C105" s="187">
        <f t="shared" si="4"/>
        <v>43829</v>
      </c>
      <c r="D105" s="201"/>
      <c r="E105" s="201"/>
      <c r="F105" s="201"/>
      <c r="G105" s="201"/>
      <c r="H105" s="180" t="str">
        <f>IF(G105="","",(VLOOKUP(Z105,'Reference List'!$B$3:$D$173,2,FALSE)))</f>
        <v/>
      </c>
      <c r="I105" s="181" t="str">
        <f>IF(G105="","",(VLOOKUP(Z105,'Reference List'!$B$3:$F$202,5,FALSE)))</f>
        <v/>
      </c>
      <c r="J105" s="201" t="str">
        <f t="shared" si="3"/>
        <v/>
      </c>
      <c r="K105" s="201"/>
      <c r="L105" s="201"/>
      <c r="Z105" s="203">
        <v>3200540</v>
      </c>
    </row>
    <row r="106" spans="1:26" x14ac:dyDescent="0.25">
      <c r="E106">
        <f>COUNTA(E7:E16)</f>
        <v>0</v>
      </c>
      <c r="K106">
        <f>SUM(K7:K16)</f>
        <v>0</v>
      </c>
    </row>
  </sheetData>
  <mergeCells count="6">
    <mergeCell ref="B17:K17"/>
    <mergeCell ref="B1:L1"/>
    <mergeCell ref="G4:H4"/>
    <mergeCell ref="D6:J6"/>
    <mergeCell ref="K2:L2"/>
    <mergeCell ref="K5:L5"/>
  </mergeCells>
  <conditionalFormatting sqref="G7:G16 D6 G20:G43">
    <cfRule type="cellIs" dxfId="250" priority="27" operator="equal">
      <formula>#N/A</formula>
    </cfRule>
  </conditionalFormatting>
  <conditionalFormatting sqref="G3">
    <cfRule type="cellIs" dxfId="249" priority="26" operator="equal">
      <formula>#N/A</formula>
    </cfRule>
  </conditionalFormatting>
  <conditionalFormatting sqref="G44">
    <cfRule type="cellIs" dxfId="248" priority="25" operator="equal">
      <formula>#N/A</formula>
    </cfRule>
  </conditionalFormatting>
  <conditionalFormatting sqref="F2">
    <cfRule type="cellIs" dxfId="247" priority="24" operator="equal">
      <formula>#N/A</formula>
    </cfRule>
  </conditionalFormatting>
  <conditionalFormatting sqref="G5:G6">
    <cfRule type="cellIs" dxfId="246" priority="16" operator="equal">
      <formula>#N/A</formula>
    </cfRule>
  </conditionalFormatting>
  <conditionalFormatting sqref="H7:H16 H18:H105">
    <cfRule type="cellIs" dxfId="245" priority="7" operator="equal">
      <formula>"Return"</formula>
    </cfRule>
    <cfRule type="cellIs" dxfId="244" priority="8" operator="equal">
      <formula>"Customer Pickup"</formula>
    </cfRule>
    <cfRule type="cellIs" dxfId="243" priority="9" operator="equal">
      <formula>"Bluestar Logistics"</formula>
    </cfRule>
  </conditionalFormatting>
  <conditionalFormatting sqref="B17">
    <cfRule type="cellIs" dxfId="242" priority="4" operator="equal">
      <formula>"Return"</formula>
    </cfRule>
    <cfRule type="cellIs" dxfId="241" priority="5" operator="equal">
      <formula>"Customer Pickup"</formula>
    </cfRule>
    <cfRule type="cellIs" dxfId="240" priority="6" operator="equal">
      <formula>"Bluestar Logistics"</formula>
    </cfRule>
  </conditionalFormatting>
  <conditionalFormatting sqref="G18">
    <cfRule type="cellIs" dxfId="239" priority="3" operator="equal">
      <formula>#N/A</formula>
    </cfRule>
  </conditionalFormatting>
  <conditionalFormatting sqref="G19">
    <cfRule type="cellIs" dxfId="238" priority="2" operator="equal">
      <formula>#N/A</formula>
    </cfRule>
  </conditionalFormatting>
  <conditionalFormatting sqref="E18:E105">
    <cfRule type="duplicateValues" dxfId="237" priority="1"/>
  </conditionalFormatting>
  <pageMargins left="0.70866141732283472" right="0.70866141732283472" top="0.74803149606299213" bottom="0.74803149606299213" header="0.31496062992125984" footer="0.31496062992125984"/>
  <pageSetup paperSize="9" scale="7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Print_CoverSheet.Print_CoverSheet">
                <anchor moveWithCells="1" sizeWithCells="1">
                  <from>
                    <xdr:col>13</xdr:col>
                    <xdr:colOff>0</xdr:colOff>
                    <xdr:row>1</xdr:row>
                    <xdr:rowOff>504825</xdr:rowOff>
                  </from>
                  <to>
                    <xdr:col>14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BillofLading.BillofLading">
                <anchor moveWithCells="1" sizeWithCells="1">
                  <from>
                    <xdr:col>10</xdr:col>
                    <xdr:colOff>0</xdr:colOff>
                    <xdr:row>22</xdr:row>
                    <xdr:rowOff>0</xdr:rowOff>
                  </from>
                  <to>
                    <xdr:col>11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Ship_Pickup">
                <anchor moveWithCells="1" sizeWithCells="1">
                  <from>
                    <xdr:col>11</xdr:col>
                    <xdr:colOff>9525</xdr:colOff>
                    <xdr:row>6</xdr:row>
                    <xdr:rowOff>9525</xdr:rowOff>
                  </from>
                  <to>
                    <xdr:col>11</xdr:col>
                    <xdr:colOff>1114425</xdr:colOff>
                    <xdr:row>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Ship_Bluestar">
                <anchor moveWithCells="1" sizeWithCells="1">
                  <from>
                    <xdr:col>10</xdr:col>
                    <xdr:colOff>0</xdr:colOff>
                    <xdr:row>24</xdr:row>
                    <xdr:rowOff>0</xdr:rowOff>
                  </from>
                  <to>
                    <xdr:col>11</xdr:col>
                    <xdr:colOff>0</xdr:colOff>
                    <xdr:row>25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Button 5">
              <controlPr defaultSize="0" print="0" autoFill="0" autoPict="0" macro="[0]!Open_Delivery_List">
                <anchor moveWithCells="1" sizeWithCells="1">
                  <from>
                    <xdr:col>11</xdr:col>
                    <xdr:colOff>0</xdr:colOff>
                    <xdr:row>22</xdr:row>
                    <xdr:rowOff>0</xdr:rowOff>
                  </from>
                  <to>
                    <xdr:col>12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Z106"/>
  <sheetViews>
    <sheetView topLeftCell="B2" zoomScaleNormal="100" zoomScaleSheetLayoutView="100" workbookViewId="0">
      <pane ySplit="4" topLeftCell="A6" activePane="bottomLeft" state="frozen"/>
      <selection activeCell="G31" sqref="G31"/>
      <selection pane="bottomLeft" activeCell="G31" sqref="G31"/>
    </sheetView>
  </sheetViews>
  <sheetFormatPr defaultRowHeight="15" x14ac:dyDescent="0.25"/>
  <cols>
    <col min="1" max="1" width="2.85546875" hidden="1" customWidth="1"/>
    <col min="2" max="2" width="9.42578125" customWidth="1"/>
    <col min="3" max="3" width="12.140625" customWidth="1"/>
    <col min="4" max="4" width="12.85546875" customWidth="1"/>
    <col min="5" max="5" width="13.85546875" customWidth="1"/>
    <col min="6" max="6" width="16" customWidth="1"/>
    <col min="7" max="7" width="41.85546875" customWidth="1"/>
    <col min="8" max="8" width="22.7109375" style="152" customWidth="1"/>
    <col min="9" max="9" width="11.85546875" customWidth="1"/>
    <col min="10" max="10" width="33.5703125" customWidth="1"/>
    <col min="11" max="11" width="18.140625" customWidth="1"/>
    <col min="12" max="12" width="22.42578125" customWidth="1"/>
    <col min="13" max="13" width="9.85546875" hidden="1" customWidth="1"/>
    <col min="14" max="14" width="19.5703125" customWidth="1"/>
    <col min="26" max="26" width="0" hidden="1" customWidth="1"/>
  </cols>
  <sheetData>
    <row r="1" spans="1:26" ht="36.75" hidden="1" customHeight="1" thickBot="1" x14ac:dyDescent="0.3">
      <c r="A1" s="1"/>
      <c r="B1" s="1"/>
      <c r="C1" s="1"/>
      <c r="D1" s="1"/>
      <c r="E1" s="2"/>
      <c r="F1" s="1"/>
      <c r="G1" s="1"/>
      <c r="H1" s="3"/>
      <c r="I1" s="1"/>
      <c r="J1" s="4"/>
      <c r="K1" s="4"/>
      <c r="L1" s="4"/>
    </row>
    <row r="2" spans="1:26" ht="66.75" customHeight="1" thickBot="1" x14ac:dyDescent="0.55000000000000004">
      <c r="A2" s="30"/>
      <c r="B2" s="86"/>
      <c r="C2" s="30"/>
      <c r="D2" s="87"/>
      <c r="E2" s="148" t="s">
        <v>11</v>
      </c>
      <c r="F2" s="30"/>
      <c r="G2" s="30"/>
      <c r="H2" s="150"/>
      <c r="I2" s="159" t="s">
        <v>23</v>
      </c>
      <c r="J2" s="157">
        <f>Monday!J2</f>
        <v>43835</v>
      </c>
      <c r="K2" s="252">
        <f>J2-5</f>
        <v>43830</v>
      </c>
      <c r="L2" s="253"/>
      <c r="M2" s="156"/>
    </row>
    <row r="3" spans="1:26" ht="18" hidden="1" customHeight="1" thickBot="1" x14ac:dyDescent="0.3">
      <c r="A3" s="94"/>
      <c r="B3" s="102" t="s">
        <v>0</v>
      </c>
      <c r="C3" s="102" t="s">
        <v>1</v>
      </c>
      <c r="D3" s="103" t="s">
        <v>13</v>
      </c>
      <c r="E3" s="95" t="s">
        <v>2</v>
      </c>
      <c r="F3" s="95" t="s">
        <v>14</v>
      </c>
      <c r="G3" s="95" t="s">
        <v>15</v>
      </c>
      <c r="H3" s="151" t="s">
        <v>16</v>
      </c>
      <c r="I3" s="158" t="s">
        <v>21</v>
      </c>
      <c r="J3" s="158" t="s">
        <v>4</v>
      </c>
      <c r="K3" s="95" t="s">
        <v>5</v>
      </c>
      <c r="L3" s="95" t="s">
        <v>25</v>
      </c>
      <c r="M3" s="97"/>
    </row>
    <row r="4" spans="1:26" ht="24" hidden="1" customHeight="1" thickBot="1" x14ac:dyDescent="0.4">
      <c r="A4" s="67"/>
      <c r="B4" s="63"/>
      <c r="C4" s="64"/>
      <c r="D4" s="65"/>
      <c r="E4" s="69"/>
      <c r="F4" s="70"/>
      <c r="G4" s="251"/>
      <c r="H4" s="243"/>
      <c r="I4" s="65"/>
      <c r="J4" s="65"/>
      <c r="K4" s="65"/>
      <c r="L4" s="65"/>
      <c r="M4" s="66"/>
    </row>
    <row r="5" spans="1:26" ht="26.25" customHeight="1" thickBot="1" x14ac:dyDescent="0.3">
      <c r="A5" s="98"/>
      <c r="B5" s="99" t="s">
        <v>0</v>
      </c>
      <c r="C5" s="99" t="s">
        <v>1</v>
      </c>
      <c r="D5" s="99" t="s">
        <v>462</v>
      </c>
      <c r="E5" s="99" t="s">
        <v>2</v>
      </c>
      <c r="F5" s="99" t="s">
        <v>14</v>
      </c>
      <c r="G5" s="99" t="s">
        <v>455</v>
      </c>
      <c r="H5" s="99" t="s">
        <v>461</v>
      </c>
      <c r="I5" s="99" t="s">
        <v>21</v>
      </c>
      <c r="J5" s="99" t="s">
        <v>517</v>
      </c>
      <c r="K5" s="249" t="s">
        <v>522</v>
      </c>
      <c r="L5" s="250"/>
      <c r="M5" s="101"/>
    </row>
    <row r="6" spans="1:26" ht="15.75" thickBot="1" x14ac:dyDescent="0.3">
      <c r="A6" s="160">
        <v>30</v>
      </c>
      <c r="B6" s="184"/>
      <c r="C6" s="195"/>
      <c r="D6" s="244" t="s">
        <v>518</v>
      </c>
      <c r="E6" s="245"/>
      <c r="F6" s="245"/>
      <c r="G6" s="245"/>
      <c r="H6" s="245"/>
      <c r="I6" s="245"/>
      <c r="J6" s="245"/>
      <c r="K6" s="192" t="s">
        <v>523</v>
      </c>
      <c r="L6" s="191"/>
      <c r="M6" s="162"/>
      <c r="Z6" s="203">
        <v>3200543</v>
      </c>
    </row>
    <row r="7" spans="1:26" ht="16.5" customHeight="1" x14ac:dyDescent="0.25">
      <c r="A7" s="59">
        <v>1</v>
      </c>
      <c r="B7" s="173" t="s">
        <v>89</v>
      </c>
      <c r="C7" s="174">
        <f>Monday!C7+1</f>
        <v>43830</v>
      </c>
      <c r="D7" s="180"/>
      <c r="E7" s="180"/>
      <c r="F7" s="180"/>
      <c r="G7" s="196"/>
      <c r="H7" s="180" t="str">
        <f>IF(G7="","",(VLOOKUP(Z7,'Reference List'!$B$3:$D$173,2,FALSE)))</f>
        <v/>
      </c>
      <c r="I7" s="181" t="str">
        <f>IF(G7="","",(VLOOKUP(Z7,'Reference List'!$B$3:$F$202,5,FALSE)))</f>
        <v/>
      </c>
      <c r="J7" s="180"/>
      <c r="K7" s="180"/>
      <c r="L7" s="180"/>
      <c r="M7" s="109" t="s">
        <v>453</v>
      </c>
      <c r="Z7" s="203">
        <v>3200543</v>
      </c>
    </row>
    <row r="8" spans="1:26" x14ac:dyDescent="0.25">
      <c r="A8" s="47">
        <v>2</v>
      </c>
      <c r="B8" s="173" t="s">
        <v>90</v>
      </c>
      <c r="C8" s="174">
        <f t="shared" ref="C8:C71" si="0">+C7</f>
        <v>43830</v>
      </c>
      <c r="D8" s="180"/>
      <c r="E8" s="180"/>
      <c r="F8" s="180"/>
      <c r="G8" s="180"/>
      <c r="H8" s="180" t="str">
        <f>IF(G8="","",(VLOOKUP(Z8,'Reference List'!$B$3:$D$173,2,FALSE)))</f>
        <v/>
      </c>
      <c r="I8" s="181" t="str">
        <f>IF(G8="","",(VLOOKUP(Z8,'Reference List'!$B$3:$F$202,5,FALSE)))</f>
        <v/>
      </c>
      <c r="J8" s="180"/>
      <c r="K8" s="180"/>
      <c r="L8" s="180"/>
      <c r="M8" s="109"/>
      <c r="Z8" s="203">
        <v>3200543</v>
      </c>
    </row>
    <row r="9" spans="1:26" ht="16.5" customHeight="1" x14ac:dyDescent="0.25">
      <c r="A9" s="59">
        <v>3</v>
      </c>
      <c r="B9" s="173" t="s">
        <v>91</v>
      </c>
      <c r="C9" s="174">
        <f t="shared" si="0"/>
        <v>43830</v>
      </c>
      <c r="D9" s="180"/>
      <c r="E9" s="180"/>
      <c r="F9" s="180"/>
      <c r="G9" s="180"/>
      <c r="H9" s="180" t="str">
        <f>IF(G9="","",(VLOOKUP(Z9,'Reference List'!$B$3:$D$173,2,FALSE)))</f>
        <v/>
      </c>
      <c r="I9" s="181" t="str">
        <f>IF(G9="","",(VLOOKUP(Z9,'Reference List'!$B$3:$F$202,5,FALSE)))</f>
        <v/>
      </c>
      <c r="J9" s="180"/>
      <c r="K9" s="180"/>
      <c r="L9" s="180"/>
      <c r="M9" s="109" t="s">
        <v>454</v>
      </c>
      <c r="Z9" s="203">
        <v>3200543</v>
      </c>
    </row>
    <row r="10" spans="1:26" x14ac:dyDescent="0.25">
      <c r="A10" s="47">
        <v>4</v>
      </c>
      <c r="B10" s="173" t="s">
        <v>92</v>
      </c>
      <c r="C10" s="174">
        <f t="shared" si="0"/>
        <v>43830</v>
      </c>
      <c r="D10" s="180"/>
      <c r="E10" s="180"/>
      <c r="F10" s="180"/>
      <c r="G10" s="180"/>
      <c r="H10" s="180" t="str">
        <f>IF(G10="","",(VLOOKUP(Z10,'Reference List'!$B$3:$D$173,2,FALSE)))</f>
        <v/>
      </c>
      <c r="I10" s="181" t="str">
        <f>IF(G10="","",(VLOOKUP(Z10,'Reference List'!$B$3:$F$202,5,FALSE)))</f>
        <v/>
      </c>
      <c r="J10" s="180"/>
      <c r="K10" s="180"/>
      <c r="L10" s="180"/>
      <c r="M10" s="109"/>
      <c r="Z10" s="203">
        <v>3200543</v>
      </c>
    </row>
    <row r="11" spans="1:26" x14ac:dyDescent="0.25">
      <c r="A11" s="59">
        <v>5</v>
      </c>
      <c r="B11" s="173" t="s">
        <v>93</v>
      </c>
      <c r="C11" s="174">
        <f t="shared" si="0"/>
        <v>43830</v>
      </c>
      <c r="D11" s="180"/>
      <c r="E11" s="180"/>
      <c r="F11" s="180"/>
      <c r="G11" s="180"/>
      <c r="H11" s="180" t="str">
        <f>IF(G11="","",(VLOOKUP(Z11,'Reference List'!$B$3:$D$173,2,FALSE)))</f>
        <v/>
      </c>
      <c r="I11" s="181" t="str">
        <f>IF(G11="","",(VLOOKUP(Z11,'Reference List'!$B$3:$F$202,5,FALSE)))</f>
        <v/>
      </c>
      <c r="J11" s="180"/>
      <c r="K11" s="180"/>
      <c r="L11" s="180"/>
      <c r="M11" s="82"/>
      <c r="Z11" s="203">
        <v>3200543</v>
      </c>
    </row>
    <row r="12" spans="1:26" x14ac:dyDescent="0.25">
      <c r="A12" s="47">
        <v>6</v>
      </c>
      <c r="B12" s="173" t="s">
        <v>94</v>
      </c>
      <c r="C12" s="174">
        <f t="shared" si="0"/>
        <v>43830</v>
      </c>
      <c r="D12" s="180"/>
      <c r="E12" s="180"/>
      <c r="F12" s="180"/>
      <c r="G12" s="180"/>
      <c r="H12" s="180" t="str">
        <f>IF(G12="","",(VLOOKUP(Z12,'Reference List'!$B$3:$D$173,2,FALSE)))</f>
        <v/>
      </c>
      <c r="I12" s="181" t="str">
        <f>IF(G12="","",(VLOOKUP(Z12,'Reference List'!$B$3:$F$202,5,FALSE)))</f>
        <v/>
      </c>
      <c r="J12" s="180"/>
      <c r="K12" s="180"/>
      <c r="L12" s="180"/>
      <c r="M12" s="82"/>
      <c r="Z12" s="203">
        <v>3200543</v>
      </c>
    </row>
    <row r="13" spans="1:26" x14ac:dyDescent="0.25">
      <c r="A13" s="59">
        <v>7</v>
      </c>
      <c r="B13" s="173" t="s">
        <v>95</v>
      </c>
      <c r="C13" s="174">
        <f t="shared" si="0"/>
        <v>43830</v>
      </c>
      <c r="D13" s="180"/>
      <c r="E13" s="180"/>
      <c r="F13" s="180"/>
      <c r="G13" s="180"/>
      <c r="H13" s="180" t="str">
        <f>IF(G13="","",(VLOOKUP(Z13,'Reference List'!$B$3:$D$173,2,FALSE)))</f>
        <v/>
      </c>
      <c r="I13" s="181" t="str">
        <f>IF(G13="","",(VLOOKUP(Z13,'Reference List'!$B$3:$F$202,5,FALSE)))</f>
        <v/>
      </c>
      <c r="J13" s="180"/>
      <c r="K13" s="180"/>
      <c r="L13" s="180"/>
      <c r="M13" s="82"/>
      <c r="Z13" s="203">
        <v>3200543</v>
      </c>
    </row>
    <row r="14" spans="1:26" x14ac:dyDescent="0.25">
      <c r="A14" s="47">
        <v>8</v>
      </c>
      <c r="B14" s="173" t="s">
        <v>96</v>
      </c>
      <c r="C14" s="174">
        <f t="shared" si="0"/>
        <v>43830</v>
      </c>
      <c r="D14" s="180"/>
      <c r="E14" s="180"/>
      <c r="F14" s="180"/>
      <c r="G14" s="180"/>
      <c r="H14" s="180" t="str">
        <f>IF(G14="","",(VLOOKUP(Z14,'Reference List'!$B$3:$D$173,2,FALSE)))</f>
        <v/>
      </c>
      <c r="I14" s="181" t="str">
        <f>IF(G14="","",(VLOOKUP(Z14,'Reference List'!$B$3:$F$202,5,FALSE)))</f>
        <v/>
      </c>
      <c r="J14" s="180"/>
      <c r="K14" s="180"/>
      <c r="L14" s="180"/>
      <c r="M14" s="82"/>
      <c r="Z14" s="203">
        <v>3200543</v>
      </c>
    </row>
    <row r="15" spans="1:26" x14ac:dyDescent="0.25">
      <c r="A15" s="59">
        <v>9</v>
      </c>
      <c r="B15" s="173" t="s">
        <v>97</v>
      </c>
      <c r="C15" s="174">
        <f t="shared" si="0"/>
        <v>43830</v>
      </c>
      <c r="D15" s="180"/>
      <c r="E15" s="180"/>
      <c r="F15" s="180"/>
      <c r="G15" s="180"/>
      <c r="H15" s="180" t="str">
        <f>IF(G15="","",(VLOOKUP(Z15,'Reference List'!$B$3:$D$173,2,FALSE)))</f>
        <v/>
      </c>
      <c r="I15" s="181" t="str">
        <f>IF(G15="","",(VLOOKUP(Z15,'Reference List'!$B$3:$F$202,5,FALSE)))</f>
        <v/>
      </c>
      <c r="J15" s="180"/>
      <c r="K15" s="180"/>
      <c r="L15" s="180"/>
      <c r="M15" s="82"/>
      <c r="Z15" s="203">
        <v>3200543</v>
      </c>
    </row>
    <row r="16" spans="1:26" ht="15.75" thickBot="1" x14ac:dyDescent="0.3">
      <c r="A16" s="47">
        <v>10</v>
      </c>
      <c r="B16" s="173" t="s">
        <v>98</v>
      </c>
      <c r="C16" s="174">
        <f t="shared" si="0"/>
        <v>43830</v>
      </c>
      <c r="D16" s="180"/>
      <c r="E16" s="180"/>
      <c r="F16" s="180"/>
      <c r="G16" s="180"/>
      <c r="H16" s="180" t="str">
        <f>IF(G16="","",(VLOOKUP(Z16,'Reference List'!$B$3:$D$173,2,FALSE)))</f>
        <v/>
      </c>
      <c r="I16" s="181" t="str">
        <f>IF(G16="","",(VLOOKUP(Z16,'Reference List'!$B$3:$F$202,5,FALSE)))</f>
        <v/>
      </c>
      <c r="J16" s="180"/>
      <c r="K16" s="180"/>
      <c r="L16" s="180"/>
      <c r="M16" s="82"/>
      <c r="Z16" s="203">
        <v>3200543</v>
      </c>
    </row>
    <row r="17" spans="1:26" ht="15.75" thickBot="1" x14ac:dyDescent="0.3">
      <c r="A17" s="59">
        <v>11</v>
      </c>
      <c r="B17" s="237" t="s">
        <v>529</v>
      </c>
      <c r="C17" s="238"/>
      <c r="D17" s="238"/>
      <c r="E17" s="238"/>
      <c r="F17" s="238"/>
      <c r="G17" s="238"/>
      <c r="H17" s="238"/>
      <c r="I17" s="238"/>
      <c r="J17" s="238"/>
      <c r="K17" s="238"/>
      <c r="L17" s="261">
        <f>COUNTA(D18:D105)</f>
        <v>0</v>
      </c>
      <c r="M17" s="82"/>
      <c r="Z17" s="203">
        <v>3200543</v>
      </c>
    </row>
    <row r="18" spans="1:26" x14ac:dyDescent="0.25">
      <c r="A18" s="47">
        <v>12</v>
      </c>
      <c r="B18" s="173" t="s">
        <v>99</v>
      </c>
      <c r="C18" s="174">
        <f>+C16</f>
        <v>43830</v>
      </c>
      <c r="D18" s="173"/>
      <c r="E18" s="173"/>
      <c r="F18" s="173"/>
      <c r="G18" s="173"/>
      <c r="H18" s="173" t="str">
        <f>IF(G18="","",(VLOOKUP(Z18,'Reference List'!$B$3:$D$173,2,FALSE)))</f>
        <v/>
      </c>
      <c r="I18" s="175" t="str">
        <f>IF(G18="","",(VLOOKUP(Z18,'Reference List'!$B$3:$F$202,5,FALSE)))</f>
        <v/>
      </c>
      <c r="J18" s="198" t="str">
        <f>IF(LEFT(G18,8)="BUNNINGS","Loscam pallets only",IF(G18="MM ELECTRICAL BIBRA LAKE WA","Plain pallets only",""))</f>
        <v/>
      </c>
      <c r="K18" s="206" t="s">
        <v>519</v>
      </c>
      <c r="L18" s="208"/>
      <c r="M18" s="162"/>
      <c r="Z18" s="203">
        <v>3200540</v>
      </c>
    </row>
    <row r="19" spans="1:26" x14ac:dyDescent="0.25">
      <c r="A19" s="59">
        <v>13</v>
      </c>
      <c r="B19" s="173" t="s">
        <v>100</v>
      </c>
      <c r="C19" s="174">
        <f t="shared" si="0"/>
        <v>43830</v>
      </c>
      <c r="D19" s="173"/>
      <c r="E19" s="173"/>
      <c r="F19" s="173"/>
      <c r="G19" s="173"/>
      <c r="H19" s="173" t="str">
        <f>IF(G19="","",(VLOOKUP(Z19,'Reference List'!$B$3:$D$173,2,FALSE)))</f>
        <v/>
      </c>
      <c r="I19" s="175" t="str">
        <f>IF(G19="","",(VLOOKUP(Z19,'Reference List'!$B$3:$F$202,5,FALSE)))</f>
        <v/>
      </c>
      <c r="J19" s="198" t="str">
        <f t="shared" ref="J19:J82" si="1">IF(LEFT(G19,8)="BUNNINGS","Loscam pallets only",IF(G19="MM ELECTRICAL BIBRA LAKE WA","Plain pallets only",""))</f>
        <v/>
      </c>
      <c r="K19" s="207" t="s">
        <v>520</v>
      </c>
      <c r="L19" s="209"/>
      <c r="M19" s="212"/>
      <c r="Z19" s="203">
        <v>3200540</v>
      </c>
    </row>
    <row r="20" spans="1:26" x14ac:dyDescent="0.25">
      <c r="A20" s="47">
        <v>14</v>
      </c>
      <c r="B20" s="173" t="s">
        <v>101</v>
      </c>
      <c r="C20" s="174">
        <f t="shared" si="0"/>
        <v>43830</v>
      </c>
      <c r="D20" s="173"/>
      <c r="E20" s="173"/>
      <c r="F20" s="173"/>
      <c r="G20" s="173"/>
      <c r="H20" s="173" t="str">
        <f>IF(G20="","",(VLOOKUP(Z20,'Reference List'!$B$3:$D$173,2,FALSE)))</f>
        <v/>
      </c>
      <c r="I20" s="175" t="str">
        <f>IF(G20="","",(VLOOKUP(Z20,'Reference List'!$B$3:$F$202,5,FALSE)))</f>
        <v/>
      </c>
      <c r="J20" s="198" t="str">
        <f t="shared" si="1"/>
        <v/>
      </c>
      <c r="K20" s="207" t="s">
        <v>521</v>
      </c>
      <c r="L20" s="209"/>
      <c r="M20" s="212"/>
      <c r="Z20" s="203">
        <v>3200540</v>
      </c>
    </row>
    <row r="21" spans="1:26" x14ac:dyDescent="0.25">
      <c r="A21" s="59">
        <v>15</v>
      </c>
      <c r="B21" s="173" t="s">
        <v>102</v>
      </c>
      <c r="C21" s="174">
        <f t="shared" si="0"/>
        <v>43830</v>
      </c>
      <c r="D21" s="173"/>
      <c r="E21" s="173"/>
      <c r="F21" s="173"/>
      <c r="G21" s="173"/>
      <c r="H21" s="173" t="str">
        <f>IF(G21="","",(VLOOKUP(Z21,'Reference List'!$B$3:$D$173,2,FALSE)))</f>
        <v/>
      </c>
      <c r="I21" s="175" t="str">
        <f>IF(G21="","",(VLOOKUP(Z21,'Reference List'!$B$3:$F$202,5,FALSE)))</f>
        <v/>
      </c>
      <c r="J21" s="198" t="str">
        <f t="shared" si="1"/>
        <v/>
      </c>
      <c r="K21" s="207" t="s">
        <v>554</v>
      </c>
      <c r="L21" s="209"/>
      <c r="M21" s="212"/>
      <c r="Z21" s="203">
        <v>3200540</v>
      </c>
    </row>
    <row r="22" spans="1:26" ht="15.75" thickBot="1" x14ac:dyDescent="0.3">
      <c r="A22" s="47">
        <v>16</v>
      </c>
      <c r="B22" s="173" t="s">
        <v>103</v>
      </c>
      <c r="C22" s="174">
        <f t="shared" si="0"/>
        <v>43830</v>
      </c>
      <c r="D22" s="173"/>
      <c r="E22" s="173"/>
      <c r="F22" s="173"/>
      <c r="G22" s="173" t="str">
        <f>IF(F22="","",(VLOOKUP(F22,'Reference List'!$B$3:$D$173,2,FALSE)))</f>
        <v/>
      </c>
      <c r="H22" s="173" t="str">
        <f>IF(G22="","",(VLOOKUP(Z22,'Reference List'!$B$3:$D$173,2,FALSE)))</f>
        <v/>
      </c>
      <c r="I22" s="175" t="str">
        <f>IF(G22="","",(VLOOKUP(Z22,'Reference List'!$B$3:$F$202,5,FALSE)))</f>
        <v/>
      </c>
      <c r="J22" s="198" t="str">
        <f t="shared" si="1"/>
        <v/>
      </c>
      <c r="K22" s="210" t="s">
        <v>555</v>
      </c>
      <c r="L22" s="211"/>
      <c r="M22" s="212"/>
      <c r="Z22" s="203">
        <v>3200540</v>
      </c>
    </row>
    <row r="23" spans="1:26" x14ac:dyDescent="0.25">
      <c r="A23" s="59">
        <v>17</v>
      </c>
      <c r="B23" s="180" t="s">
        <v>104</v>
      </c>
      <c r="C23" s="187">
        <f t="shared" si="0"/>
        <v>43830</v>
      </c>
      <c r="D23" s="180"/>
      <c r="E23" s="180"/>
      <c r="F23" s="180"/>
      <c r="G23" s="180" t="str">
        <f>IF(F23="","",(VLOOKUP(F23,'Reference List'!$B$3:$D$173,2,FALSE)))</f>
        <v/>
      </c>
      <c r="H23" s="173" t="str">
        <f>IF(G23="","",(VLOOKUP(Z23,'Reference List'!$B$3:$D$173,2,FALSE)))</f>
        <v/>
      </c>
      <c r="I23" s="175" t="str">
        <f>IF(G23="","",(VLOOKUP(Z23,'Reference List'!$B$3:$F$202,5,FALSE)))</f>
        <v/>
      </c>
      <c r="J23" s="198" t="str">
        <f t="shared" si="1"/>
        <v/>
      </c>
      <c r="K23" s="205"/>
      <c r="L23" s="205"/>
      <c r="M23" s="109"/>
      <c r="Z23" s="203">
        <v>3200540</v>
      </c>
    </row>
    <row r="24" spans="1:26" x14ac:dyDescent="0.25">
      <c r="A24" s="71">
        <v>18</v>
      </c>
      <c r="B24" s="180" t="s">
        <v>105</v>
      </c>
      <c r="C24" s="187">
        <f t="shared" si="0"/>
        <v>43830</v>
      </c>
      <c r="D24" s="180"/>
      <c r="E24" s="180"/>
      <c r="F24" s="180"/>
      <c r="G24" s="180" t="str">
        <f>IF(F24="","",(VLOOKUP(F24,'Reference List'!$B$3:$D$173,2,FALSE)))</f>
        <v/>
      </c>
      <c r="H24" s="173" t="str">
        <f>IF(G24="","",(VLOOKUP(Z24,'Reference List'!$B$3:$D$173,2,FALSE)))</f>
        <v/>
      </c>
      <c r="I24" s="175" t="str">
        <f>IF(G24="","",(VLOOKUP(Z24,'Reference List'!$B$3:$F$202,5,FALSE)))</f>
        <v/>
      </c>
      <c r="J24" s="198" t="str">
        <f t="shared" si="1"/>
        <v/>
      </c>
      <c r="K24" s="180"/>
      <c r="L24" s="180"/>
      <c r="M24" s="110"/>
      <c r="Z24" s="203">
        <v>3200540</v>
      </c>
    </row>
    <row r="25" spans="1:26" x14ac:dyDescent="0.25">
      <c r="A25" s="47">
        <v>19</v>
      </c>
      <c r="B25" s="180" t="s">
        <v>106</v>
      </c>
      <c r="C25" s="187">
        <f>+C24</f>
        <v>43830</v>
      </c>
      <c r="D25" s="180"/>
      <c r="E25" s="180"/>
      <c r="F25" s="180"/>
      <c r="G25" s="180"/>
      <c r="H25" s="173" t="str">
        <f>IF(G25="","",(VLOOKUP(Z25,'Reference List'!$B$3:$D$173,2,FALSE)))</f>
        <v/>
      </c>
      <c r="I25" s="175" t="str">
        <f>IF(G25="","",(VLOOKUP(Z25,'Reference List'!$B$3:$F$202,5,FALSE)))</f>
        <v/>
      </c>
      <c r="J25" s="198" t="str">
        <f t="shared" si="1"/>
        <v/>
      </c>
      <c r="K25" s="180"/>
      <c r="L25" s="180"/>
      <c r="M25" s="82"/>
      <c r="Z25" s="203">
        <v>3200540</v>
      </c>
    </row>
    <row r="26" spans="1:26" x14ac:dyDescent="0.25">
      <c r="A26" s="59">
        <v>20</v>
      </c>
      <c r="B26" s="180" t="s">
        <v>107</v>
      </c>
      <c r="C26" s="187">
        <f t="shared" si="0"/>
        <v>43830</v>
      </c>
      <c r="D26" s="180"/>
      <c r="E26" s="180"/>
      <c r="F26" s="180"/>
      <c r="G26" s="180"/>
      <c r="H26" s="173" t="str">
        <f>IF(G26="","",(VLOOKUP(Z26,'Reference List'!$B$3:$D$173,2,FALSE)))</f>
        <v/>
      </c>
      <c r="I26" s="175" t="str">
        <f>IF(G26="","",(VLOOKUP(Z26,'Reference List'!$B$3:$F$202,5,FALSE)))</f>
        <v/>
      </c>
      <c r="J26" s="198" t="str">
        <f t="shared" si="1"/>
        <v/>
      </c>
      <c r="K26" s="180"/>
      <c r="L26" s="180"/>
      <c r="M26" s="82"/>
      <c r="Z26" s="203">
        <v>3200540</v>
      </c>
    </row>
    <row r="27" spans="1:26" x14ac:dyDescent="0.25">
      <c r="A27" s="47">
        <v>21</v>
      </c>
      <c r="B27" s="180" t="s">
        <v>108</v>
      </c>
      <c r="C27" s="187">
        <f t="shared" si="0"/>
        <v>43830</v>
      </c>
      <c r="D27" s="180"/>
      <c r="E27" s="180"/>
      <c r="F27" s="180"/>
      <c r="G27" s="180"/>
      <c r="H27" s="173" t="str">
        <f>IF(G27="","",(VLOOKUP(Z27,'Reference List'!$B$3:$D$173,2,FALSE)))</f>
        <v/>
      </c>
      <c r="I27" s="175" t="str">
        <f>IF(G27="","",(VLOOKUP(Z27,'Reference List'!$B$3:$F$202,5,FALSE)))</f>
        <v/>
      </c>
      <c r="J27" s="198" t="str">
        <f t="shared" si="1"/>
        <v/>
      </c>
      <c r="K27" s="180"/>
      <c r="L27" s="180"/>
      <c r="M27" s="82"/>
      <c r="Z27" s="203">
        <v>3200540</v>
      </c>
    </row>
    <row r="28" spans="1:26" x14ac:dyDescent="0.25">
      <c r="A28" s="47">
        <v>22</v>
      </c>
      <c r="B28" s="180" t="s">
        <v>109</v>
      </c>
      <c r="C28" s="187">
        <f t="shared" si="0"/>
        <v>43830</v>
      </c>
      <c r="D28" s="180"/>
      <c r="E28" s="180"/>
      <c r="F28" s="180"/>
      <c r="G28" s="180"/>
      <c r="H28" s="173" t="str">
        <f>IF(G28="","",(VLOOKUP(Z28,'Reference List'!$B$3:$D$173,2,FALSE)))</f>
        <v/>
      </c>
      <c r="I28" s="175" t="str">
        <f>IF(G28="","",(VLOOKUP(Z28,'Reference List'!$B$3:$F$202,5,FALSE)))</f>
        <v/>
      </c>
      <c r="J28" s="198" t="str">
        <f t="shared" si="1"/>
        <v/>
      </c>
      <c r="K28" s="180"/>
      <c r="L28" s="180"/>
      <c r="M28" s="82"/>
      <c r="Z28" s="203">
        <v>3200540</v>
      </c>
    </row>
    <row r="29" spans="1:26" x14ac:dyDescent="0.25">
      <c r="A29" s="59">
        <v>23</v>
      </c>
      <c r="B29" s="180" t="s">
        <v>110</v>
      </c>
      <c r="C29" s="187">
        <f t="shared" si="0"/>
        <v>43830</v>
      </c>
      <c r="D29" s="180"/>
      <c r="E29" s="180"/>
      <c r="F29" s="180"/>
      <c r="G29" s="180"/>
      <c r="H29" s="173" t="str">
        <f>IF(G29="","",(VLOOKUP(Z29,'Reference List'!$B$3:$D$173,2,FALSE)))</f>
        <v/>
      </c>
      <c r="I29" s="175" t="str">
        <f>IF(G29="","",(VLOOKUP(Z29,'Reference List'!$B$3:$F$202,5,FALSE)))</f>
        <v/>
      </c>
      <c r="J29" s="198" t="str">
        <f t="shared" si="1"/>
        <v/>
      </c>
      <c r="K29" s="180"/>
      <c r="L29" s="180"/>
      <c r="M29" s="82"/>
      <c r="Z29" s="203">
        <v>3200540</v>
      </c>
    </row>
    <row r="30" spans="1:26" x14ac:dyDescent="0.25">
      <c r="A30" s="47">
        <v>24</v>
      </c>
      <c r="B30" s="180" t="s">
        <v>111</v>
      </c>
      <c r="C30" s="187">
        <f t="shared" si="0"/>
        <v>43830</v>
      </c>
      <c r="D30" s="180"/>
      <c r="E30" s="180"/>
      <c r="F30" s="180"/>
      <c r="G30" s="180"/>
      <c r="H30" s="173" t="str">
        <f>IF(G30="","",(VLOOKUP(Z30,'Reference List'!$B$3:$D$173,2,FALSE)))</f>
        <v/>
      </c>
      <c r="I30" s="175" t="str">
        <f>IF(G30="","",(VLOOKUP(Z30,'Reference List'!$B$3:$F$202,5,FALSE)))</f>
        <v/>
      </c>
      <c r="J30" s="198" t="str">
        <f t="shared" si="1"/>
        <v/>
      </c>
      <c r="K30" s="180"/>
      <c r="L30" s="180"/>
      <c r="M30" s="82"/>
      <c r="Z30" s="203">
        <v>3200540</v>
      </c>
    </row>
    <row r="31" spans="1:26" x14ac:dyDescent="0.25">
      <c r="A31" s="47">
        <v>25</v>
      </c>
      <c r="B31" s="180" t="s">
        <v>112</v>
      </c>
      <c r="C31" s="187">
        <f t="shared" si="0"/>
        <v>43830</v>
      </c>
      <c r="D31" s="180"/>
      <c r="E31" s="180"/>
      <c r="F31" s="180"/>
      <c r="G31" s="180"/>
      <c r="H31" s="173" t="str">
        <f>IF(G31="","",(VLOOKUP(Z31,'Reference List'!$B$3:$D$173,2,FALSE)))</f>
        <v/>
      </c>
      <c r="I31" s="175" t="str">
        <f>IF(G31="","",(VLOOKUP(Z31,'Reference List'!$B$3:$F$202,5,FALSE)))</f>
        <v/>
      </c>
      <c r="J31" s="198" t="str">
        <f t="shared" si="1"/>
        <v/>
      </c>
      <c r="K31" s="180"/>
      <c r="L31" s="180"/>
      <c r="M31" s="82"/>
      <c r="Z31" s="203">
        <v>3200540</v>
      </c>
    </row>
    <row r="32" spans="1:26" x14ac:dyDescent="0.25">
      <c r="A32" s="59">
        <v>26</v>
      </c>
      <c r="B32" s="180" t="s">
        <v>113</v>
      </c>
      <c r="C32" s="187">
        <f t="shared" si="0"/>
        <v>43830</v>
      </c>
      <c r="D32" s="180"/>
      <c r="E32" s="180"/>
      <c r="F32" s="180"/>
      <c r="G32" s="180"/>
      <c r="H32" s="173" t="str">
        <f>IF(G32="","",(VLOOKUP(Z32,'Reference List'!$B$3:$D$173,2,FALSE)))</f>
        <v/>
      </c>
      <c r="I32" s="175" t="str">
        <f>IF(G32="","",(VLOOKUP(Z32,'Reference List'!$B$3:$F$202,5,FALSE)))</f>
        <v/>
      </c>
      <c r="J32" s="198" t="str">
        <f t="shared" si="1"/>
        <v/>
      </c>
      <c r="K32" s="180"/>
      <c r="L32" s="180"/>
      <c r="M32" s="82"/>
      <c r="Z32" s="203">
        <v>3200540</v>
      </c>
    </row>
    <row r="33" spans="1:26" x14ac:dyDescent="0.25">
      <c r="A33" s="47">
        <v>27</v>
      </c>
      <c r="B33" s="180" t="s">
        <v>114</v>
      </c>
      <c r="C33" s="187">
        <f t="shared" si="0"/>
        <v>43830</v>
      </c>
      <c r="D33" s="180"/>
      <c r="E33" s="180"/>
      <c r="F33" s="180"/>
      <c r="G33" s="180"/>
      <c r="H33" s="173" t="str">
        <f>IF(G33="","",(VLOOKUP(Z33,'Reference List'!$B$3:$D$173,2,FALSE)))</f>
        <v/>
      </c>
      <c r="I33" s="175" t="str">
        <f>IF(G33="","",(VLOOKUP(Z33,'Reference List'!$B$3:$F$202,5,FALSE)))</f>
        <v/>
      </c>
      <c r="J33" s="198" t="str">
        <f t="shared" si="1"/>
        <v/>
      </c>
      <c r="K33" s="180"/>
      <c r="L33" s="180"/>
      <c r="M33" s="82"/>
      <c r="Z33" s="203">
        <v>3200540</v>
      </c>
    </row>
    <row r="34" spans="1:26" x14ac:dyDescent="0.25">
      <c r="A34" s="47">
        <v>28</v>
      </c>
      <c r="B34" s="180" t="s">
        <v>115</v>
      </c>
      <c r="C34" s="187">
        <f t="shared" si="0"/>
        <v>43830</v>
      </c>
      <c r="D34" s="180"/>
      <c r="E34" s="180"/>
      <c r="F34" s="180"/>
      <c r="G34" s="180"/>
      <c r="H34" s="173" t="str">
        <f>IF(G34="","",(VLOOKUP(Z34,'Reference List'!$B$3:$D$173,2,FALSE)))</f>
        <v/>
      </c>
      <c r="I34" s="175" t="str">
        <f>IF(G34="","",(VLOOKUP(Z34,'Reference List'!$B$3:$F$202,5,FALSE)))</f>
        <v/>
      </c>
      <c r="J34" s="198" t="str">
        <f t="shared" si="1"/>
        <v/>
      </c>
      <c r="K34" s="180"/>
      <c r="L34" s="180"/>
      <c r="M34" s="82"/>
      <c r="Z34" s="203">
        <v>3200540</v>
      </c>
    </row>
    <row r="35" spans="1:26" x14ac:dyDescent="0.25">
      <c r="A35" s="59">
        <v>29</v>
      </c>
      <c r="B35" s="180" t="s">
        <v>116</v>
      </c>
      <c r="C35" s="187">
        <f t="shared" si="0"/>
        <v>43830</v>
      </c>
      <c r="D35" s="180"/>
      <c r="E35" s="180"/>
      <c r="F35" s="180"/>
      <c r="G35" s="180" t="str">
        <f>IF(F35="","",(VLOOKUP(F35,'Reference List'!$B$3:$D$173,2,FALSE)))</f>
        <v/>
      </c>
      <c r="H35" s="173" t="str">
        <f>IF(G35="","",(VLOOKUP(Z35,'Reference List'!$B$3:$D$173,2,FALSE)))</f>
        <v/>
      </c>
      <c r="I35" s="175" t="str">
        <f>IF(G35="","",(VLOOKUP(Z35,'Reference List'!$B$3:$F$202,5,FALSE)))</f>
        <v/>
      </c>
      <c r="J35" s="198" t="str">
        <f t="shared" si="1"/>
        <v/>
      </c>
      <c r="K35" s="180"/>
      <c r="L35" s="180"/>
      <c r="M35" s="82"/>
      <c r="Z35" s="203">
        <v>3200540</v>
      </c>
    </row>
    <row r="36" spans="1:26" x14ac:dyDescent="0.25">
      <c r="A36" s="47">
        <v>31</v>
      </c>
      <c r="B36" s="180" t="s">
        <v>117</v>
      </c>
      <c r="C36" s="187">
        <f t="shared" si="0"/>
        <v>43830</v>
      </c>
      <c r="D36" s="180"/>
      <c r="E36" s="180"/>
      <c r="F36" s="180"/>
      <c r="G36" s="180"/>
      <c r="H36" s="173" t="str">
        <f>IF(G36="","",(VLOOKUP(Z36,'Reference List'!$B$3:$D$173,2,FALSE)))</f>
        <v/>
      </c>
      <c r="I36" s="175" t="str">
        <f>IF(G36="","",(VLOOKUP(Z36,'Reference List'!$B$3:$F$202,5,FALSE)))</f>
        <v/>
      </c>
      <c r="J36" s="198" t="str">
        <f t="shared" si="1"/>
        <v/>
      </c>
      <c r="K36" s="180"/>
      <c r="L36" s="180"/>
      <c r="M36" s="82"/>
      <c r="Z36" s="203">
        <v>3200540</v>
      </c>
    </row>
    <row r="37" spans="1:26" x14ac:dyDescent="0.25">
      <c r="A37" s="59">
        <v>32</v>
      </c>
      <c r="B37" s="180" t="s">
        <v>118</v>
      </c>
      <c r="C37" s="187">
        <f t="shared" si="0"/>
        <v>43830</v>
      </c>
      <c r="D37" s="180"/>
      <c r="E37" s="180"/>
      <c r="F37" s="180"/>
      <c r="G37" s="180" t="str">
        <f>IF(F37="","",(VLOOKUP(F37,'Reference List'!$B$3:$D$173,2,FALSE)))</f>
        <v/>
      </c>
      <c r="H37" s="173" t="str">
        <f>IF(G37="","",(VLOOKUP(Z37,'Reference List'!$B$3:$D$173,2,FALSE)))</f>
        <v/>
      </c>
      <c r="I37" s="175" t="str">
        <f>IF(G37="","",(VLOOKUP(Z37,'Reference List'!$B$3:$F$202,5,FALSE)))</f>
        <v/>
      </c>
      <c r="J37" s="198" t="str">
        <f t="shared" si="1"/>
        <v/>
      </c>
      <c r="K37" s="180"/>
      <c r="L37" s="180"/>
      <c r="M37" s="82"/>
      <c r="Z37" s="203">
        <v>3200540</v>
      </c>
    </row>
    <row r="38" spans="1:26" x14ac:dyDescent="0.25">
      <c r="A38" s="47">
        <v>33</v>
      </c>
      <c r="B38" s="180" t="s">
        <v>119</v>
      </c>
      <c r="C38" s="187">
        <f t="shared" si="0"/>
        <v>43830</v>
      </c>
      <c r="D38" s="180"/>
      <c r="E38" s="180"/>
      <c r="F38" s="180"/>
      <c r="G38" s="180" t="str">
        <f>IF(F38="","",(VLOOKUP(F38,'Reference List'!$B$3:$D$173,2,FALSE)))</f>
        <v/>
      </c>
      <c r="H38" s="173" t="str">
        <f>IF(G38="","",(VLOOKUP(Z38,'Reference List'!$B$3:$D$173,2,FALSE)))</f>
        <v/>
      </c>
      <c r="I38" s="175" t="str">
        <f>IF(G38="","",(VLOOKUP(Z38,'Reference List'!$B$3:$F$202,5,FALSE)))</f>
        <v/>
      </c>
      <c r="J38" s="198" t="str">
        <f t="shared" si="1"/>
        <v/>
      </c>
      <c r="K38" s="180"/>
      <c r="L38" s="180"/>
      <c r="M38" s="82"/>
      <c r="Z38" s="203">
        <v>3200540</v>
      </c>
    </row>
    <row r="39" spans="1:26" x14ac:dyDescent="0.25">
      <c r="A39" s="47">
        <v>34</v>
      </c>
      <c r="B39" s="180" t="s">
        <v>120</v>
      </c>
      <c r="C39" s="187">
        <f t="shared" si="0"/>
        <v>43830</v>
      </c>
      <c r="D39" s="180"/>
      <c r="E39" s="180"/>
      <c r="F39" s="180"/>
      <c r="G39" s="180" t="str">
        <f>IF(F39="","",(VLOOKUP(F39,'Reference List'!$B$3:$D$173,2,FALSE)))</f>
        <v/>
      </c>
      <c r="H39" s="173" t="str">
        <f>IF(G39="","",(VLOOKUP(Z39,'Reference List'!$B$3:$D$173,2,FALSE)))</f>
        <v/>
      </c>
      <c r="I39" s="175" t="str">
        <f>IF(G39="","",(VLOOKUP(Z39,'Reference List'!$B$3:$F$202,5,FALSE)))</f>
        <v/>
      </c>
      <c r="J39" s="198" t="str">
        <f t="shared" si="1"/>
        <v/>
      </c>
      <c r="K39" s="180"/>
      <c r="L39" s="180"/>
      <c r="M39" s="82"/>
      <c r="Z39" s="203">
        <v>3200540</v>
      </c>
    </row>
    <row r="40" spans="1:26" x14ac:dyDescent="0.25">
      <c r="A40" s="59">
        <v>35</v>
      </c>
      <c r="B40" s="180" t="s">
        <v>121</v>
      </c>
      <c r="C40" s="187">
        <f t="shared" si="0"/>
        <v>43830</v>
      </c>
      <c r="D40" s="180"/>
      <c r="E40" s="180"/>
      <c r="F40" s="180"/>
      <c r="G40" s="180" t="str">
        <f>IF(F40="","",(VLOOKUP(F40,'Reference List'!$B$3:$D$173,2,FALSE)))</f>
        <v/>
      </c>
      <c r="H40" s="173" t="str">
        <f>IF(G40="","",(VLOOKUP(Z40,'Reference List'!$B$3:$D$173,2,FALSE)))</f>
        <v/>
      </c>
      <c r="I40" s="175" t="str">
        <f>IF(G40="","",(VLOOKUP(Z40,'Reference List'!$B$3:$F$202,5,FALSE)))</f>
        <v/>
      </c>
      <c r="J40" s="198" t="str">
        <f t="shared" si="1"/>
        <v/>
      </c>
      <c r="K40" s="180"/>
      <c r="L40" s="180"/>
      <c r="M40" s="82"/>
      <c r="Z40" s="203">
        <v>3200540</v>
      </c>
    </row>
    <row r="41" spans="1:26" x14ac:dyDescent="0.25">
      <c r="A41" s="47">
        <v>36</v>
      </c>
      <c r="B41" s="180" t="s">
        <v>122</v>
      </c>
      <c r="C41" s="187">
        <f t="shared" si="0"/>
        <v>43830</v>
      </c>
      <c r="D41" s="180"/>
      <c r="E41" s="180"/>
      <c r="F41" s="180"/>
      <c r="G41" s="180" t="str">
        <f>IF(F41="","",(VLOOKUP(F41,'Reference List'!$B$3:$D$173,2,FALSE)))</f>
        <v/>
      </c>
      <c r="H41" s="173" t="str">
        <f>IF(G41="","",(VLOOKUP(Z41,'Reference List'!$B$3:$D$173,2,FALSE)))</f>
        <v/>
      </c>
      <c r="I41" s="175" t="str">
        <f>IF(G41="","",(VLOOKUP(Z41,'Reference List'!$B$3:$F$202,5,FALSE)))</f>
        <v/>
      </c>
      <c r="J41" s="198" t="str">
        <f t="shared" si="1"/>
        <v/>
      </c>
      <c r="K41" s="180"/>
      <c r="L41" s="180"/>
      <c r="M41" s="82"/>
      <c r="Z41" s="203">
        <v>3200540</v>
      </c>
    </row>
    <row r="42" spans="1:26" x14ac:dyDescent="0.25">
      <c r="A42" s="47">
        <v>37</v>
      </c>
      <c r="B42" s="180" t="s">
        <v>123</v>
      </c>
      <c r="C42" s="187">
        <f t="shared" si="0"/>
        <v>43830</v>
      </c>
      <c r="D42" s="180"/>
      <c r="E42" s="180"/>
      <c r="F42" s="180"/>
      <c r="G42" s="180" t="str">
        <f>IF(F42="","",(VLOOKUP(F42,'Reference List'!$B$3:$D$173,2,FALSE)))</f>
        <v/>
      </c>
      <c r="H42" s="173" t="str">
        <f>IF(G42="","",(VLOOKUP(Z42,'Reference List'!$B$3:$D$173,2,FALSE)))</f>
        <v/>
      </c>
      <c r="I42" s="175" t="str">
        <f>IF(G42="","",(VLOOKUP(Z42,'Reference List'!$B$3:$F$202,5,FALSE)))</f>
        <v/>
      </c>
      <c r="J42" s="198" t="str">
        <f t="shared" si="1"/>
        <v/>
      </c>
      <c r="K42" s="180"/>
      <c r="L42" s="180"/>
      <c r="M42" s="82"/>
      <c r="Z42" s="203">
        <v>3200540</v>
      </c>
    </row>
    <row r="43" spans="1:26" x14ac:dyDescent="0.25">
      <c r="A43" s="59">
        <v>38</v>
      </c>
      <c r="B43" s="180" t="s">
        <v>124</v>
      </c>
      <c r="C43" s="187">
        <f t="shared" si="0"/>
        <v>43830</v>
      </c>
      <c r="D43" s="180"/>
      <c r="E43" s="180"/>
      <c r="F43" s="180"/>
      <c r="G43" s="180" t="str">
        <f>IF(F43="","",(VLOOKUP(F43,'Reference List'!$B$3:$D$173,2,FALSE)))</f>
        <v/>
      </c>
      <c r="H43" s="173" t="str">
        <f>IF(G43="","",(VLOOKUP(Z43,'Reference List'!$B$3:$D$173,2,FALSE)))</f>
        <v/>
      </c>
      <c r="I43" s="175" t="str">
        <f>IF(G43="","",(VLOOKUP(Z43,'Reference List'!$B$3:$F$202,5,FALSE)))</f>
        <v/>
      </c>
      <c r="J43" s="198" t="str">
        <f t="shared" si="1"/>
        <v/>
      </c>
      <c r="K43" s="180"/>
      <c r="L43" s="180"/>
      <c r="M43" s="82"/>
      <c r="Z43" s="203">
        <v>3200540</v>
      </c>
    </row>
    <row r="44" spans="1:26" x14ac:dyDescent="0.25">
      <c r="A44" s="47">
        <v>39</v>
      </c>
      <c r="B44" s="180" t="s">
        <v>125</v>
      </c>
      <c r="C44" s="187">
        <f t="shared" si="0"/>
        <v>43830</v>
      </c>
      <c r="D44" s="180"/>
      <c r="E44" s="180"/>
      <c r="F44" s="180"/>
      <c r="G44" s="180" t="str">
        <f>IF(F44="","",(VLOOKUP(F44,'Reference List'!$B$3:$D$168,2,FALSE)))</f>
        <v/>
      </c>
      <c r="H44" s="173" t="str">
        <f>IF(G44="","",(VLOOKUP(Z44,'Reference List'!$B$3:$D$173,2,FALSE)))</f>
        <v/>
      </c>
      <c r="I44" s="175" t="str">
        <f>IF(G44="","",(VLOOKUP(Z44,'Reference List'!$B$3:$F$202,5,FALSE)))</f>
        <v/>
      </c>
      <c r="J44" s="198" t="str">
        <f t="shared" si="1"/>
        <v/>
      </c>
      <c r="K44" s="180"/>
      <c r="L44" s="180"/>
      <c r="M44" s="82"/>
      <c r="Z44" s="203">
        <v>3200540</v>
      </c>
    </row>
    <row r="45" spans="1:26" x14ac:dyDescent="0.25">
      <c r="A45" s="47">
        <v>40</v>
      </c>
      <c r="B45" s="180" t="s">
        <v>126</v>
      </c>
      <c r="C45" s="187">
        <f t="shared" si="0"/>
        <v>43830</v>
      </c>
      <c r="D45" s="180"/>
      <c r="E45" s="180"/>
      <c r="F45" s="180"/>
      <c r="G45" s="180"/>
      <c r="H45" s="173" t="str">
        <f>IF(G45="","",(VLOOKUP(Z45,'Reference List'!$B$3:$D$173,2,FALSE)))</f>
        <v/>
      </c>
      <c r="I45" s="175" t="str">
        <f>IF(G45="","",(VLOOKUP(Z45,'Reference List'!$B$3:$F$202,5,FALSE)))</f>
        <v/>
      </c>
      <c r="J45" s="198" t="str">
        <f t="shared" si="1"/>
        <v/>
      </c>
      <c r="K45" s="180"/>
      <c r="L45" s="180"/>
      <c r="M45" s="82"/>
      <c r="Z45" s="203">
        <v>3200540</v>
      </c>
    </row>
    <row r="46" spans="1:26" x14ac:dyDescent="0.25">
      <c r="A46" s="59">
        <v>41</v>
      </c>
      <c r="B46" s="180" t="s">
        <v>127</v>
      </c>
      <c r="C46" s="187">
        <f t="shared" si="0"/>
        <v>43830</v>
      </c>
      <c r="D46" s="180"/>
      <c r="E46" s="180"/>
      <c r="F46" s="180"/>
      <c r="G46" s="180"/>
      <c r="H46" s="173" t="str">
        <f>IF(G46="","",(VLOOKUP(Z46,'Reference List'!$B$3:$D$173,2,FALSE)))</f>
        <v/>
      </c>
      <c r="I46" s="175" t="str">
        <f>IF(G46="","",(VLOOKUP(Z46,'Reference List'!$B$3:$F$202,5,FALSE)))</f>
        <v/>
      </c>
      <c r="J46" s="198" t="str">
        <f t="shared" si="1"/>
        <v/>
      </c>
      <c r="K46" s="180"/>
      <c r="L46" s="180"/>
      <c r="M46" s="82"/>
      <c r="Z46" s="203">
        <v>3200540</v>
      </c>
    </row>
    <row r="47" spans="1:26" x14ac:dyDescent="0.25">
      <c r="A47" s="47">
        <v>42</v>
      </c>
      <c r="B47" s="180" t="s">
        <v>128</v>
      </c>
      <c r="C47" s="187">
        <f t="shared" si="0"/>
        <v>43830</v>
      </c>
      <c r="D47" s="180"/>
      <c r="E47" s="180"/>
      <c r="F47" s="180"/>
      <c r="G47" s="180"/>
      <c r="H47" s="173" t="str">
        <f>IF(G47="","",(VLOOKUP(Z47,'Reference List'!$B$3:$D$173,2,FALSE)))</f>
        <v/>
      </c>
      <c r="I47" s="175" t="str">
        <f>IF(G47="","",(VLOOKUP(Z47,'Reference List'!$B$3:$F$202,5,FALSE)))</f>
        <v/>
      </c>
      <c r="J47" s="198" t="str">
        <f t="shared" si="1"/>
        <v/>
      </c>
      <c r="K47" s="180"/>
      <c r="L47" s="180"/>
      <c r="M47" s="82"/>
      <c r="Z47" s="203">
        <v>3200540</v>
      </c>
    </row>
    <row r="48" spans="1:26" x14ac:dyDescent="0.25">
      <c r="A48" s="47">
        <v>43</v>
      </c>
      <c r="B48" s="180" t="s">
        <v>129</v>
      </c>
      <c r="C48" s="187">
        <f t="shared" si="0"/>
        <v>43830</v>
      </c>
      <c r="D48" s="180"/>
      <c r="E48" s="180"/>
      <c r="F48" s="180"/>
      <c r="G48" s="180"/>
      <c r="H48" s="173" t="str">
        <f>IF(G48="","",(VLOOKUP(Z48,'Reference List'!$B$3:$D$173,2,FALSE)))</f>
        <v/>
      </c>
      <c r="I48" s="175" t="str">
        <f>IF(G48="","",(VLOOKUP(Z48,'Reference List'!$B$3:$F$202,5,FALSE)))</f>
        <v/>
      </c>
      <c r="J48" s="198" t="str">
        <f t="shared" si="1"/>
        <v/>
      </c>
      <c r="K48" s="180"/>
      <c r="L48" s="180"/>
      <c r="M48" s="82"/>
      <c r="Z48" s="203">
        <v>3200540</v>
      </c>
    </row>
    <row r="49" spans="1:26" x14ac:dyDescent="0.25">
      <c r="A49" s="59">
        <v>44</v>
      </c>
      <c r="B49" s="180" t="s">
        <v>130</v>
      </c>
      <c r="C49" s="187">
        <f t="shared" si="0"/>
        <v>43830</v>
      </c>
      <c r="D49" s="180"/>
      <c r="E49" s="180"/>
      <c r="F49" s="180"/>
      <c r="G49" s="180"/>
      <c r="H49" s="173" t="str">
        <f>IF(G49="","",(VLOOKUP(Z49,'Reference List'!$B$3:$D$173,2,FALSE)))</f>
        <v/>
      </c>
      <c r="I49" s="175" t="str">
        <f>IF(G49="","",(VLOOKUP(Z49,'Reference List'!$B$3:$F$202,5,FALSE)))</f>
        <v/>
      </c>
      <c r="J49" s="198" t="str">
        <f t="shared" si="1"/>
        <v/>
      </c>
      <c r="K49" s="180"/>
      <c r="L49" s="180"/>
      <c r="M49" s="82"/>
      <c r="Z49" s="203">
        <v>3200540</v>
      </c>
    </row>
    <row r="50" spans="1:26" x14ac:dyDescent="0.25">
      <c r="A50" s="47">
        <v>45</v>
      </c>
      <c r="B50" s="180" t="s">
        <v>131</v>
      </c>
      <c r="C50" s="187">
        <f t="shared" si="0"/>
        <v>43830</v>
      </c>
      <c r="D50" s="180"/>
      <c r="E50" s="180"/>
      <c r="F50" s="180"/>
      <c r="G50" s="180"/>
      <c r="H50" s="173" t="str">
        <f>IF(G50="","",(VLOOKUP(Z50,'Reference List'!$B$3:$D$173,2,FALSE)))</f>
        <v/>
      </c>
      <c r="I50" s="175" t="str">
        <f>IF(G50="","",(VLOOKUP(Z50,'Reference List'!$B$3:$F$202,5,FALSE)))</f>
        <v/>
      </c>
      <c r="J50" s="198" t="str">
        <f t="shared" si="1"/>
        <v/>
      </c>
      <c r="K50" s="180"/>
      <c r="L50" s="180"/>
      <c r="M50" s="82"/>
      <c r="Z50" s="203">
        <v>3200540</v>
      </c>
    </row>
    <row r="51" spans="1:26" x14ac:dyDescent="0.25">
      <c r="A51" s="47">
        <v>46</v>
      </c>
      <c r="B51" s="180" t="s">
        <v>132</v>
      </c>
      <c r="C51" s="187">
        <f t="shared" si="0"/>
        <v>43830</v>
      </c>
      <c r="D51" s="180"/>
      <c r="E51" s="180"/>
      <c r="F51" s="180"/>
      <c r="G51" s="180"/>
      <c r="H51" s="173" t="str">
        <f>IF(G51="","",(VLOOKUP(Z51,'Reference List'!$B$3:$D$173,2,FALSE)))</f>
        <v/>
      </c>
      <c r="I51" s="175" t="str">
        <f>IF(G51="","",(VLOOKUP(Z51,'Reference List'!$B$3:$F$202,5,FALSE)))</f>
        <v/>
      </c>
      <c r="J51" s="198" t="str">
        <f t="shared" si="1"/>
        <v/>
      </c>
      <c r="K51" s="180"/>
      <c r="L51" s="180"/>
      <c r="M51" s="82"/>
      <c r="Z51" s="203">
        <v>3200540</v>
      </c>
    </row>
    <row r="52" spans="1:26" x14ac:dyDescent="0.25">
      <c r="A52" s="59">
        <v>47</v>
      </c>
      <c r="B52" s="180" t="s">
        <v>133</v>
      </c>
      <c r="C52" s="187">
        <f t="shared" si="0"/>
        <v>43830</v>
      </c>
      <c r="D52" s="180"/>
      <c r="E52" s="180"/>
      <c r="F52" s="180"/>
      <c r="G52" s="180"/>
      <c r="H52" s="173" t="str">
        <f>IF(G52="","",(VLOOKUP(Z52,'Reference List'!$B$3:$D$173,2,FALSE)))</f>
        <v/>
      </c>
      <c r="I52" s="175" t="str">
        <f>IF(G52="","",(VLOOKUP(Z52,'Reference List'!$B$3:$F$202,5,FALSE)))</f>
        <v/>
      </c>
      <c r="J52" s="198" t="str">
        <f t="shared" si="1"/>
        <v/>
      </c>
      <c r="K52" s="180"/>
      <c r="L52" s="180"/>
      <c r="M52" s="82"/>
      <c r="Z52" s="203">
        <v>3200540</v>
      </c>
    </row>
    <row r="53" spans="1:26" x14ac:dyDescent="0.25">
      <c r="A53" s="47">
        <v>48</v>
      </c>
      <c r="B53" s="180" t="s">
        <v>134</v>
      </c>
      <c r="C53" s="187">
        <f t="shared" si="0"/>
        <v>43830</v>
      </c>
      <c r="D53" s="180"/>
      <c r="E53" s="180"/>
      <c r="F53" s="180"/>
      <c r="G53" s="180"/>
      <c r="H53" s="173" t="str">
        <f>IF(G53="","",(VLOOKUP(Z53,'Reference List'!$B$3:$D$173,2,FALSE)))</f>
        <v/>
      </c>
      <c r="I53" s="175" t="str">
        <f>IF(G53="","",(VLOOKUP(Z53,'Reference List'!$B$3:$F$202,5,FALSE)))</f>
        <v/>
      </c>
      <c r="J53" s="198" t="str">
        <f t="shared" si="1"/>
        <v/>
      </c>
      <c r="K53" s="180"/>
      <c r="L53" s="180"/>
      <c r="M53" s="82"/>
      <c r="Z53" s="203">
        <v>3200540</v>
      </c>
    </row>
    <row r="54" spans="1:26" x14ac:dyDescent="0.25">
      <c r="A54" s="47">
        <v>49</v>
      </c>
      <c r="B54" s="180" t="s">
        <v>135</v>
      </c>
      <c r="C54" s="187">
        <f t="shared" si="0"/>
        <v>43830</v>
      </c>
      <c r="D54" s="180"/>
      <c r="E54" s="180"/>
      <c r="F54" s="180"/>
      <c r="G54" s="180"/>
      <c r="H54" s="173" t="str">
        <f>IF(G54="","",(VLOOKUP(Z54,'Reference List'!$B$3:$D$173,2,FALSE)))</f>
        <v/>
      </c>
      <c r="I54" s="175" t="str">
        <f>IF(G54="","",(VLOOKUP(Z54,'Reference List'!$B$3:$F$202,5,FALSE)))</f>
        <v/>
      </c>
      <c r="J54" s="198" t="str">
        <f t="shared" si="1"/>
        <v/>
      </c>
      <c r="K54" s="180"/>
      <c r="L54" s="180"/>
      <c r="M54" s="82"/>
      <c r="Z54" s="203">
        <v>3200540</v>
      </c>
    </row>
    <row r="55" spans="1:26" x14ac:dyDescent="0.25">
      <c r="A55" s="59">
        <v>50</v>
      </c>
      <c r="B55" s="180" t="s">
        <v>136</v>
      </c>
      <c r="C55" s="187">
        <f t="shared" si="0"/>
        <v>43830</v>
      </c>
      <c r="D55" s="180"/>
      <c r="E55" s="180"/>
      <c r="F55" s="180"/>
      <c r="G55" s="180"/>
      <c r="H55" s="173" t="str">
        <f>IF(G55="","",(VLOOKUP(Z55,'Reference List'!$B$3:$D$173,2,FALSE)))</f>
        <v/>
      </c>
      <c r="I55" s="175" t="str">
        <f>IF(G55="","",(VLOOKUP(Z55,'Reference List'!$B$3:$F$202,5,FALSE)))</f>
        <v/>
      </c>
      <c r="J55" s="198" t="str">
        <f t="shared" si="1"/>
        <v/>
      </c>
      <c r="K55" s="180"/>
      <c r="L55" s="180"/>
      <c r="M55" s="82"/>
      <c r="Z55" s="203">
        <v>3200540</v>
      </c>
    </row>
    <row r="56" spans="1:26" x14ac:dyDescent="0.25">
      <c r="A56" s="47">
        <v>51</v>
      </c>
      <c r="B56" s="180" t="s">
        <v>137</v>
      </c>
      <c r="C56" s="187">
        <f t="shared" si="0"/>
        <v>43830</v>
      </c>
      <c r="D56" s="173"/>
      <c r="E56" s="173"/>
      <c r="F56" s="173"/>
      <c r="G56" s="173"/>
      <c r="H56" s="173" t="str">
        <f>IF(G56="","",(VLOOKUP(Z56,'Reference List'!$B$3:$D$173,2,FALSE)))</f>
        <v/>
      </c>
      <c r="I56" s="175" t="str">
        <f>IF(G56="","",(VLOOKUP(Z56,'Reference List'!$B$3:$F$202,5,FALSE)))</f>
        <v/>
      </c>
      <c r="J56" s="198" t="str">
        <f t="shared" si="1"/>
        <v/>
      </c>
      <c r="K56" s="77"/>
      <c r="L56" s="77"/>
      <c r="M56" s="82"/>
      <c r="Z56" s="203">
        <v>3200540</v>
      </c>
    </row>
    <row r="57" spans="1:26" x14ac:dyDescent="0.25">
      <c r="A57" s="47">
        <v>52</v>
      </c>
      <c r="B57" s="180" t="s">
        <v>138</v>
      </c>
      <c r="C57" s="187">
        <f t="shared" si="0"/>
        <v>43830</v>
      </c>
      <c r="D57" s="173"/>
      <c r="E57" s="173"/>
      <c r="F57" s="173"/>
      <c r="G57" s="173"/>
      <c r="H57" s="173" t="str">
        <f>IF(G57="","",(VLOOKUP(Z57,'Reference List'!$B$3:$D$173,2,FALSE)))</f>
        <v/>
      </c>
      <c r="I57" s="175" t="str">
        <f>IF(G57="","",(VLOOKUP(Z57,'Reference List'!$B$3:$F$202,5,FALSE)))</f>
        <v/>
      </c>
      <c r="J57" s="198" t="str">
        <f t="shared" si="1"/>
        <v/>
      </c>
      <c r="K57" s="77"/>
      <c r="L57" s="77"/>
      <c r="M57" s="82"/>
      <c r="Z57" s="203">
        <v>3200540</v>
      </c>
    </row>
    <row r="58" spans="1:26" x14ac:dyDescent="0.25">
      <c r="A58" s="59">
        <v>53</v>
      </c>
      <c r="B58" s="180" t="s">
        <v>139</v>
      </c>
      <c r="C58" s="187">
        <f t="shared" si="0"/>
        <v>43830</v>
      </c>
      <c r="D58" s="173"/>
      <c r="E58" s="173"/>
      <c r="F58" s="173"/>
      <c r="G58" s="173"/>
      <c r="H58" s="173" t="str">
        <f>IF(G58="","",(VLOOKUP(Z58,'Reference List'!$B$3:$D$173,2,FALSE)))</f>
        <v/>
      </c>
      <c r="I58" s="175" t="str">
        <f>IF(G58="","",(VLOOKUP(Z58,'Reference List'!$B$3:$F$202,5,FALSE)))</f>
        <v/>
      </c>
      <c r="J58" s="198" t="str">
        <f t="shared" si="1"/>
        <v/>
      </c>
      <c r="K58" s="77"/>
      <c r="L58" s="77"/>
      <c r="M58" s="82"/>
      <c r="Z58" s="203">
        <v>3200540</v>
      </c>
    </row>
    <row r="59" spans="1:26" x14ac:dyDescent="0.25">
      <c r="A59" s="47">
        <v>54</v>
      </c>
      <c r="B59" s="180" t="s">
        <v>140</v>
      </c>
      <c r="C59" s="187">
        <f t="shared" si="0"/>
        <v>43830</v>
      </c>
      <c r="D59" s="173"/>
      <c r="E59" s="173"/>
      <c r="F59" s="173"/>
      <c r="G59" s="173"/>
      <c r="H59" s="173" t="str">
        <f>IF(G59="","",(VLOOKUP(Z59,'Reference List'!$B$3:$D$173,2,FALSE)))</f>
        <v/>
      </c>
      <c r="I59" s="175" t="str">
        <f>IF(G59="","",(VLOOKUP(Z59,'Reference List'!$B$3:$F$202,5,FALSE)))</f>
        <v/>
      </c>
      <c r="J59" s="198" t="str">
        <f t="shared" si="1"/>
        <v/>
      </c>
      <c r="K59" s="56"/>
      <c r="L59" s="56"/>
      <c r="M59" s="47"/>
      <c r="Z59" s="203">
        <v>3200540</v>
      </c>
    </row>
    <row r="60" spans="1:26" x14ac:dyDescent="0.25">
      <c r="A60" s="47">
        <v>55</v>
      </c>
      <c r="B60" s="180" t="s">
        <v>141</v>
      </c>
      <c r="C60" s="187">
        <f t="shared" si="0"/>
        <v>43830</v>
      </c>
      <c r="D60" s="173"/>
      <c r="E60" s="173"/>
      <c r="F60" s="173"/>
      <c r="G60" s="173"/>
      <c r="H60" s="173" t="str">
        <f>IF(G60="","",(VLOOKUP(Z60,'Reference List'!$B$3:$D$173,2,FALSE)))</f>
        <v/>
      </c>
      <c r="I60" s="175" t="str">
        <f>IF(G60="","",(VLOOKUP(Z60,'Reference List'!$B$3:$F$202,5,FALSE)))</f>
        <v/>
      </c>
      <c r="J60" s="198" t="str">
        <f t="shared" si="1"/>
        <v/>
      </c>
      <c r="K60" s="56"/>
      <c r="L60" s="56"/>
      <c r="M60" s="47"/>
      <c r="Z60" s="203">
        <v>3200540</v>
      </c>
    </row>
    <row r="61" spans="1:26" x14ac:dyDescent="0.25">
      <c r="A61" s="59">
        <v>56</v>
      </c>
      <c r="B61" s="180" t="s">
        <v>142</v>
      </c>
      <c r="C61" s="187">
        <f t="shared" si="0"/>
        <v>43830</v>
      </c>
      <c r="D61" s="173"/>
      <c r="E61" s="173"/>
      <c r="F61" s="173"/>
      <c r="G61" s="173"/>
      <c r="H61" s="173" t="str">
        <f>IF(G61="","",(VLOOKUP(Z61,'Reference List'!$B$3:$D$173,2,FALSE)))</f>
        <v/>
      </c>
      <c r="I61" s="175" t="str">
        <f>IF(G61="","",(VLOOKUP(Z61,'Reference List'!$B$3:$F$202,5,FALSE)))</f>
        <v/>
      </c>
      <c r="J61" s="198" t="str">
        <f t="shared" si="1"/>
        <v/>
      </c>
      <c r="K61" s="56"/>
      <c r="L61" s="56"/>
      <c r="M61" s="47"/>
      <c r="Z61" s="203">
        <v>3200540</v>
      </c>
    </row>
    <row r="62" spans="1:26" x14ac:dyDescent="0.25">
      <c r="A62" s="47">
        <v>57</v>
      </c>
      <c r="B62" s="180" t="s">
        <v>143</v>
      </c>
      <c r="C62" s="187">
        <f t="shared" si="0"/>
        <v>43830</v>
      </c>
      <c r="D62" s="173"/>
      <c r="E62" s="173"/>
      <c r="F62" s="173"/>
      <c r="G62" s="173"/>
      <c r="H62" s="173" t="str">
        <f>IF(G62="","",(VLOOKUP(Z62,'Reference List'!$B$3:$D$173,2,FALSE)))</f>
        <v/>
      </c>
      <c r="I62" s="175" t="str">
        <f>IF(G62="","",(VLOOKUP(Z62,'Reference List'!$B$3:$F$202,5,FALSE)))</f>
        <v/>
      </c>
      <c r="J62" s="198" t="str">
        <f t="shared" si="1"/>
        <v/>
      </c>
      <c r="K62" s="56"/>
      <c r="L62" s="56"/>
      <c r="M62" s="47"/>
      <c r="Z62" s="203">
        <v>3200540</v>
      </c>
    </row>
    <row r="63" spans="1:26" x14ac:dyDescent="0.25">
      <c r="A63" s="47">
        <v>58</v>
      </c>
      <c r="B63" s="180" t="s">
        <v>144</v>
      </c>
      <c r="C63" s="187">
        <f t="shared" si="0"/>
        <v>43830</v>
      </c>
      <c r="D63" s="173"/>
      <c r="E63" s="173"/>
      <c r="F63" s="173"/>
      <c r="G63" s="173"/>
      <c r="H63" s="173" t="str">
        <f>IF(G63="","",(VLOOKUP(Z63,'Reference List'!$B$3:$D$173,2,FALSE)))</f>
        <v/>
      </c>
      <c r="I63" s="175" t="str">
        <f>IF(G63="","",(VLOOKUP(Z63,'Reference List'!$B$3:$F$202,5,FALSE)))</f>
        <v/>
      </c>
      <c r="J63" s="198" t="str">
        <f t="shared" si="1"/>
        <v/>
      </c>
      <c r="K63" s="56"/>
      <c r="L63" s="56"/>
      <c r="M63" s="47"/>
      <c r="Z63" s="203">
        <v>3200540</v>
      </c>
    </row>
    <row r="64" spans="1:26" x14ac:dyDescent="0.25">
      <c r="A64" s="59">
        <v>59</v>
      </c>
      <c r="B64" s="180" t="s">
        <v>145</v>
      </c>
      <c r="C64" s="187">
        <f t="shared" si="0"/>
        <v>43830</v>
      </c>
      <c r="D64" s="173"/>
      <c r="E64" s="173"/>
      <c r="F64" s="173"/>
      <c r="G64" s="173"/>
      <c r="H64" s="173" t="str">
        <f>IF(G64="","",(VLOOKUP(Z64,'Reference List'!$B$3:$D$173,2,FALSE)))</f>
        <v/>
      </c>
      <c r="I64" s="175" t="str">
        <f>IF(G64="","",(VLOOKUP(Z64,'Reference List'!$B$3:$F$202,5,FALSE)))</f>
        <v/>
      </c>
      <c r="J64" s="198" t="str">
        <f t="shared" si="1"/>
        <v/>
      </c>
      <c r="K64" s="56"/>
      <c r="L64" s="56"/>
      <c r="M64" s="47"/>
      <c r="Z64" s="203">
        <v>3200540</v>
      </c>
    </row>
    <row r="65" spans="1:26" x14ac:dyDescent="0.25">
      <c r="A65" s="47">
        <v>60</v>
      </c>
      <c r="B65" s="180" t="s">
        <v>146</v>
      </c>
      <c r="C65" s="187">
        <f t="shared" si="0"/>
        <v>43830</v>
      </c>
      <c r="D65" s="173"/>
      <c r="E65" s="173"/>
      <c r="F65" s="173"/>
      <c r="G65" s="173"/>
      <c r="H65" s="173" t="str">
        <f>IF(G65="","",(VLOOKUP(Z65,'Reference List'!$B$3:$D$173,2,FALSE)))</f>
        <v/>
      </c>
      <c r="I65" s="175" t="str">
        <f>IF(G65="","",(VLOOKUP(Z65,'Reference List'!$B$3:$F$202,5,FALSE)))</f>
        <v/>
      </c>
      <c r="J65" s="198" t="str">
        <f t="shared" si="1"/>
        <v/>
      </c>
      <c r="K65" s="56"/>
      <c r="L65" s="56"/>
      <c r="M65" s="47"/>
      <c r="Z65" s="203">
        <v>3200540</v>
      </c>
    </row>
    <row r="66" spans="1:26" x14ac:dyDescent="0.25">
      <c r="A66" s="47">
        <v>61</v>
      </c>
      <c r="B66" s="180" t="s">
        <v>147</v>
      </c>
      <c r="C66" s="187">
        <f t="shared" si="0"/>
        <v>43830</v>
      </c>
      <c r="D66" s="173"/>
      <c r="E66" s="173"/>
      <c r="F66" s="173"/>
      <c r="G66" s="173"/>
      <c r="H66" s="173" t="str">
        <f>IF(G66="","",(VLOOKUP(Z66,'Reference List'!$B$3:$D$173,2,FALSE)))</f>
        <v/>
      </c>
      <c r="I66" s="175" t="str">
        <f>IF(G66="","",(VLOOKUP(Z66,'Reference List'!$B$3:$F$202,5,FALSE)))</f>
        <v/>
      </c>
      <c r="J66" s="198" t="str">
        <f t="shared" si="1"/>
        <v/>
      </c>
      <c r="K66" s="56"/>
      <c r="L66" s="56"/>
      <c r="M66" s="47"/>
      <c r="Z66" s="203">
        <v>3200540</v>
      </c>
    </row>
    <row r="67" spans="1:26" x14ac:dyDescent="0.25">
      <c r="A67" s="59">
        <v>62</v>
      </c>
      <c r="B67" s="180" t="s">
        <v>148</v>
      </c>
      <c r="C67" s="187">
        <f t="shared" si="0"/>
        <v>43830</v>
      </c>
      <c r="D67" s="173"/>
      <c r="E67" s="173"/>
      <c r="F67" s="173"/>
      <c r="G67" s="173"/>
      <c r="H67" s="173" t="str">
        <f>IF(G67="","",(VLOOKUP(Z67,'Reference List'!$B$3:$D$173,2,FALSE)))</f>
        <v/>
      </c>
      <c r="I67" s="175" t="str">
        <f>IF(G67="","",(VLOOKUP(Z67,'Reference List'!$B$3:$F$202,5,FALSE)))</f>
        <v/>
      </c>
      <c r="J67" s="198" t="str">
        <f t="shared" si="1"/>
        <v/>
      </c>
      <c r="K67" s="56"/>
      <c r="L67" s="56"/>
      <c r="M67" s="47"/>
      <c r="Z67" s="203">
        <v>3200540</v>
      </c>
    </row>
    <row r="68" spans="1:26" x14ac:dyDescent="0.25">
      <c r="A68" s="47">
        <v>63</v>
      </c>
      <c r="B68" s="180" t="s">
        <v>149</v>
      </c>
      <c r="C68" s="187">
        <f t="shared" si="0"/>
        <v>43830</v>
      </c>
      <c r="D68" s="173"/>
      <c r="E68" s="173"/>
      <c r="F68" s="173"/>
      <c r="G68" s="173"/>
      <c r="H68" s="173" t="str">
        <f>IF(G68="","",(VLOOKUP(Z68,'Reference List'!$B$3:$D$173,2,FALSE)))</f>
        <v/>
      </c>
      <c r="I68" s="175" t="str">
        <f>IF(G68="","",(VLOOKUP(Z68,'Reference List'!$B$3:$F$202,5,FALSE)))</f>
        <v/>
      </c>
      <c r="J68" s="198" t="str">
        <f t="shared" si="1"/>
        <v/>
      </c>
      <c r="K68" s="56"/>
      <c r="L68" s="56"/>
      <c r="M68" s="47"/>
      <c r="Z68" s="203">
        <v>3200540</v>
      </c>
    </row>
    <row r="69" spans="1:26" x14ac:dyDescent="0.25">
      <c r="A69" s="47">
        <v>64</v>
      </c>
      <c r="B69" s="180" t="s">
        <v>150</v>
      </c>
      <c r="C69" s="187">
        <f t="shared" si="0"/>
        <v>43830</v>
      </c>
      <c r="D69" s="173"/>
      <c r="E69" s="173"/>
      <c r="F69" s="173"/>
      <c r="G69" s="173"/>
      <c r="H69" s="173" t="str">
        <f>IF(G69="","",(VLOOKUP(Z69,'Reference List'!$B$3:$D$173,2,FALSE)))</f>
        <v/>
      </c>
      <c r="I69" s="175" t="str">
        <f>IF(G69="","",(VLOOKUP(Z69,'Reference List'!$B$3:$F$202,5,FALSE)))</f>
        <v/>
      </c>
      <c r="J69" s="198" t="str">
        <f t="shared" si="1"/>
        <v/>
      </c>
      <c r="K69" s="56"/>
      <c r="L69" s="56"/>
      <c r="M69" s="47"/>
      <c r="Z69" s="203">
        <v>3200540</v>
      </c>
    </row>
    <row r="70" spans="1:26" x14ac:dyDescent="0.25">
      <c r="A70" s="59">
        <v>65</v>
      </c>
      <c r="B70" s="180" t="s">
        <v>151</v>
      </c>
      <c r="C70" s="187">
        <f t="shared" si="0"/>
        <v>43830</v>
      </c>
      <c r="D70" s="173"/>
      <c r="E70" s="173"/>
      <c r="F70" s="173"/>
      <c r="G70" s="173"/>
      <c r="H70" s="173" t="str">
        <f>IF(G70="","",(VLOOKUP(Z70,'Reference List'!$B$3:$D$173,2,FALSE)))</f>
        <v/>
      </c>
      <c r="I70" s="175" t="str">
        <f>IF(G70="","",(VLOOKUP(Z70,'Reference List'!$B$3:$F$202,5,FALSE)))</f>
        <v/>
      </c>
      <c r="J70" s="198" t="str">
        <f t="shared" si="1"/>
        <v/>
      </c>
      <c r="K70" s="56"/>
      <c r="L70" s="56"/>
      <c r="M70" s="47"/>
      <c r="Z70" s="203">
        <v>3200540</v>
      </c>
    </row>
    <row r="71" spans="1:26" x14ac:dyDescent="0.25">
      <c r="A71" s="47">
        <v>66</v>
      </c>
      <c r="B71" s="180" t="s">
        <v>152</v>
      </c>
      <c r="C71" s="187">
        <f t="shared" si="0"/>
        <v>43830</v>
      </c>
      <c r="D71" s="173"/>
      <c r="E71" s="173"/>
      <c r="F71" s="173"/>
      <c r="G71" s="173"/>
      <c r="H71" s="173" t="str">
        <f>IF(G71="","",(VLOOKUP(Z71,'Reference List'!$B$3:$D$173,2,FALSE)))</f>
        <v/>
      </c>
      <c r="I71" s="175" t="str">
        <f>IF(G71="","",(VLOOKUP(Z71,'Reference List'!$B$3:$F$202,5,FALSE)))</f>
        <v/>
      </c>
      <c r="J71" s="198" t="str">
        <f t="shared" si="1"/>
        <v/>
      </c>
      <c r="K71" s="56"/>
      <c r="L71" s="56"/>
      <c r="M71" s="56"/>
      <c r="Z71" s="203">
        <v>3200540</v>
      </c>
    </row>
    <row r="72" spans="1:26" x14ac:dyDescent="0.25">
      <c r="A72" s="47">
        <v>67</v>
      </c>
      <c r="B72" s="180" t="s">
        <v>153</v>
      </c>
      <c r="C72" s="187">
        <f t="shared" ref="C72:C105" si="2">+C71</f>
        <v>43830</v>
      </c>
      <c r="D72" s="173"/>
      <c r="E72" s="173"/>
      <c r="F72" s="173"/>
      <c r="G72" s="173"/>
      <c r="H72" s="173" t="str">
        <f>IF(G72="","",(VLOOKUP(Z72,'Reference List'!$B$3:$D$173,2,FALSE)))</f>
        <v/>
      </c>
      <c r="I72" s="175" t="str">
        <f>IF(G72="","",(VLOOKUP(Z72,'Reference List'!$B$3:$F$202,5,FALSE)))</f>
        <v/>
      </c>
      <c r="J72" s="198" t="str">
        <f t="shared" si="1"/>
        <v/>
      </c>
      <c r="K72" s="56"/>
      <c r="L72" s="56"/>
      <c r="M72" s="56"/>
      <c r="Z72" s="203">
        <v>3200540</v>
      </c>
    </row>
    <row r="73" spans="1:26" x14ac:dyDescent="0.25">
      <c r="A73" s="59">
        <v>68</v>
      </c>
      <c r="B73" s="180" t="s">
        <v>154</v>
      </c>
      <c r="C73" s="187">
        <f t="shared" si="2"/>
        <v>43830</v>
      </c>
      <c r="D73" s="173"/>
      <c r="E73" s="173"/>
      <c r="F73" s="173"/>
      <c r="G73" s="173"/>
      <c r="H73" s="173" t="str">
        <f>IF(G73="","",(VLOOKUP(Z73,'Reference List'!$B$3:$D$173,2,FALSE)))</f>
        <v/>
      </c>
      <c r="I73" s="175" t="str">
        <f>IF(G73="","",(VLOOKUP(Z73,'Reference List'!$B$3:$F$202,5,FALSE)))</f>
        <v/>
      </c>
      <c r="J73" s="198" t="str">
        <f t="shared" si="1"/>
        <v/>
      </c>
      <c r="K73" s="56"/>
      <c r="L73" s="56"/>
      <c r="M73" s="56"/>
      <c r="Z73" s="203">
        <v>3200540</v>
      </c>
    </row>
    <row r="74" spans="1:26" x14ac:dyDescent="0.25">
      <c r="A74" s="47">
        <v>69</v>
      </c>
      <c r="B74" s="180" t="s">
        <v>155</v>
      </c>
      <c r="C74" s="187">
        <f t="shared" si="2"/>
        <v>43830</v>
      </c>
      <c r="D74" s="173"/>
      <c r="E74" s="173"/>
      <c r="F74" s="173"/>
      <c r="G74" s="173"/>
      <c r="H74" s="173" t="str">
        <f>IF(G74="","",(VLOOKUP(Z74,'Reference List'!$B$3:$D$173,2,FALSE)))</f>
        <v/>
      </c>
      <c r="I74" s="175" t="str">
        <f>IF(G74="","",(VLOOKUP(Z74,'Reference List'!$B$3:$F$202,5,FALSE)))</f>
        <v/>
      </c>
      <c r="J74" s="198" t="str">
        <f t="shared" si="1"/>
        <v/>
      </c>
      <c r="K74" s="56"/>
      <c r="L74" s="56"/>
      <c r="M74" s="56"/>
      <c r="Z74" s="203">
        <v>3200540</v>
      </c>
    </row>
    <row r="75" spans="1:26" x14ac:dyDescent="0.25">
      <c r="A75" s="47">
        <v>70</v>
      </c>
      <c r="B75" s="180" t="s">
        <v>156</v>
      </c>
      <c r="C75" s="187">
        <f t="shared" si="2"/>
        <v>43830</v>
      </c>
      <c r="D75" s="173"/>
      <c r="E75" s="173"/>
      <c r="F75" s="173"/>
      <c r="G75" s="173"/>
      <c r="H75" s="173" t="str">
        <f>IF(G75="","",(VLOOKUP(Z75,'Reference List'!$B$3:$D$173,2,FALSE)))</f>
        <v/>
      </c>
      <c r="I75" s="175" t="str">
        <f>IF(G75="","",(VLOOKUP(Z75,'Reference List'!$B$3:$F$202,5,FALSE)))</f>
        <v/>
      </c>
      <c r="J75" s="198" t="str">
        <f t="shared" si="1"/>
        <v/>
      </c>
      <c r="K75" s="56"/>
      <c r="L75" s="56"/>
      <c r="M75" s="56"/>
      <c r="Z75" s="203">
        <v>3200540</v>
      </c>
    </row>
    <row r="76" spans="1:26" x14ac:dyDescent="0.25">
      <c r="A76" s="59">
        <v>71</v>
      </c>
      <c r="B76" s="180" t="s">
        <v>157</v>
      </c>
      <c r="C76" s="187">
        <f t="shared" si="2"/>
        <v>43830</v>
      </c>
      <c r="D76" s="173"/>
      <c r="E76" s="173"/>
      <c r="F76" s="173"/>
      <c r="G76" s="173"/>
      <c r="H76" s="173" t="str">
        <f>IF(G76="","",(VLOOKUP(Z76,'Reference List'!$B$3:$D$173,2,FALSE)))</f>
        <v/>
      </c>
      <c r="I76" s="175" t="str">
        <f>IF(G76="","",(VLOOKUP(Z76,'Reference List'!$B$3:$F$202,5,FALSE)))</f>
        <v/>
      </c>
      <c r="J76" s="198" t="str">
        <f t="shared" si="1"/>
        <v/>
      </c>
      <c r="K76" s="56"/>
      <c r="L76" s="56"/>
      <c r="M76" s="56"/>
      <c r="Z76" s="203">
        <v>3200540</v>
      </c>
    </row>
    <row r="77" spans="1:26" x14ac:dyDescent="0.25">
      <c r="A77" s="47">
        <v>72</v>
      </c>
      <c r="B77" s="180" t="s">
        <v>158</v>
      </c>
      <c r="C77" s="187">
        <f t="shared" si="2"/>
        <v>43830</v>
      </c>
      <c r="D77" s="173"/>
      <c r="E77" s="173"/>
      <c r="F77" s="173"/>
      <c r="G77" s="173"/>
      <c r="H77" s="173" t="str">
        <f>IF(G77="","",(VLOOKUP(Z77,'Reference List'!$B$3:$D$173,2,FALSE)))</f>
        <v/>
      </c>
      <c r="I77" s="175" t="str">
        <f>IF(G77="","",(VLOOKUP(Z77,'Reference List'!$B$3:$F$202,5,FALSE)))</f>
        <v/>
      </c>
      <c r="J77" s="198" t="str">
        <f t="shared" si="1"/>
        <v/>
      </c>
      <c r="K77" s="56"/>
      <c r="L77" s="56"/>
      <c r="M77" s="56"/>
      <c r="Z77" s="203">
        <v>3200540</v>
      </c>
    </row>
    <row r="78" spans="1:26" x14ac:dyDescent="0.25">
      <c r="A78" s="47">
        <v>73</v>
      </c>
      <c r="B78" s="180" t="s">
        <v>159</v>
      </c>
      <c r="C78" s="187">
        <f t="shared" si="2"/>
        <v>43830</v>
      </c>
      <c r="D78" s="173"/>
      <c r="E78" s="173"/>
      <c r="F78" s="173"/>
      <c r="G78" s="173"/>
      <c r="H78" s="173" t="str">
        <f>IF(G78="","",(VLOOKUP(Z78,'Reference List'!$B$3:$D$173,2,FALSE)))</f>
        <v/>
      </c>
      <c r="I78" s="175" t="str">
        <f>IF(G78="","",(VLOOKUP(Z78,'Reference List'!$B$3:$F$202,5,FALSE)))</f>
        <v/>
      </c>
      <c r="J78" s="198" t="str">
        <f t="shared" si="1"/>
        <v/>
      </c>
      <c r="K78" s="56"/>
      <c r="L78" s="56"/>
      <c r="M78" s="56"/>
      <c r="Z78" s="203">
        <v>3200540</v>
      </c>
    </row>
    <row r="79" spans="1:26" x14ac:dyDescent="0.25">
      <c r="A79" s="59">
        <v>74</v>
      </c>
      <c r="B79" s="180" t="s">
        <v>160</v>
      </c>
      <c r="C79" s="187">
        <f t="shared" si="2"/>
        <v>43830</v>
      </c>
      <c r="D79" s="173"/>
      <c r="E79" s="173"/>
      <c r="F79" s="173"/>
      <c r="G79" s="173"/>
      <c r="H79" s="173" t="str">
        <f>IF(G79="","",(VLOOKUP(Z79,'Reference List'!$B$3:$D$173,2,FALSE)))</f>
        <v/>
      </c>
      <c r="I79" s="175" t="str">
        <f>IF(G79="","",(VLOOKUP(Z79,'Reference List'!$B$3:$F$202,5,FALSE)))</f>
        <v/>
      </c>
      <c r="J79" s="198" t="str">
        <f t="shared" si="1"/>
        <v/>
      </c>
      <c r="K79" s="56"/>
      <c r="L79" s="56"/>
      <c r="M79" s="56"/>
      <c r="Z79" s="203">
        <v>3200540</v>
      </c>
    </row>
    <row r="80" spans="1:26" x14ac:dyDescent="0.25">
      <c r="A80" s="47">
        <v>75</v>
      </c>
      <c r="B80" s="180" t="s">
        <v>161</v>
      </c>
      <c r="C80" s="187">
        <f t="shared" si="2"/>
        <v>43830</v>
      </c>
      <c r="D80" s="173"/>
      <c r="E80" s="173"/>
      <c r="F80" s="173"/>
      <c r="G80" s="173"/>
      <c r="H80" s="173" t="str">
        <f>IF(G80="","",(VLOOKUP(Z80,'Reference List'!$B$3:$D$173,2,FALSE)))</f>
        <v/>
      </c>
      <c r="I80" s="175" t="str">
        <f>IF(G80="","",(VLOOKUP(Z80,'Reference List'!$B$3:$F$202,5,FALSE)))</f>
        <v/>
      </c>
      <c r="J80" s="198" t="str">
        <f t="shared" si="1"/>
        <v/>
      </c>
      <c r="K80" s="56"/>
      <c r="L80" s="56"/>
      <c r="M80" s="56"/>
      <c r="Z80" s="203">
        <v>3200540</v>
      </c>
    </row>
    <row r="81" spans="1:26" x14ac:dyDescent="0.25">
      <c r="A81" s="47">
        <v>76</v>
      </c>
      <c r="B81" s="180" t="s">
        <v>162</v>
      </c>
      <c r="C81" s="187">
        <f t="shared" si="2"/>
        <v>43830</v>
      </c>
      <c r="D81" s="173"/>
      <c r="E81" s="173"/>
      <c r="F81" s="173"/>
      <c r="G81" s="173"/>
      <c r="H81" s="173" t="str">
        <f>IF(G81="","",(VLOOKUP(Z81,'Reference List'!$B$3:$D$173,2,FALSE)))</f>
        <v/>
      </c>
      <c r="I81" s="175" t="str">
        <f>IF(G81="","",(VLOOKUP(Z81,'Reference List'!$B$3:$F$202,5,FALSE)))</f>
        <v/>
      </c>
      <c r="J81" s="198" t="str">
        <f t="shared" si="1"/>
        <v/>
      </c>
      <c r="K81" s="56"/>
      <c r="L81" s="56"/>
      <c r="M81" s="56"/>
      <c r="Z81" s="203">
        <v>3200540</v>
      </c>
    </row>
    <row r="82" spans="1:26" x14ac:dyDescent="0.25">
      <c r="A82" s="59">
        <v>77</v>
      </c>
      <c r="B82" s="180" t="s">
        <v>530</v>
      </c>
      <c r="C82" s="187">
        <f t="shared" si="2"/>
        <v>43830</v>
      </c>
      <c r="D82" s="173"/>
      <c r="E82" s="173"/>
      <c r="F82" s="173"/>
      <c r="G82" s="173"/>
      <c r="H82" s="173" t="str">
        <f>IF(G82="","",(VLOOKUP(Z82,'Reference List'!$B$3:$D$173,2,FALSE)))</f>
        <v/>
      </c>
      <c r="I82" s="175" t="str">
        <f>IF(G82="","",(VLOOKUP(Z82,'Reference List'!$B$3:$F$202,5,FALSE)))</f>
        <v/>
      </c>
      <c r="J82" s="198" t="str">
        <f t="shared" si="1"/>
        <v/>
      </c>
      <c r="K82" s="56"/>
      <c r="L82" s="56"/>
      <c r="M82" s="56"/>
      <c r="Z82" s="203">
        <v>3200540</v>
      </c>
    </row>
    <row r="83" spans="1:26" x14ac:dyDescent="0.25">
      <c r="A83" s="47">
        <v>78</v>
      </c>
      <c r="B83" s="180" t="s">
        <v>531</v>
      </c>
      <c r="C83" s="187">
        <f t="shared" si="2"/>
        <v>43830</v>
      </c>
      <c r="D83" s="173"/>
      <c r="E83" s="173"/>
      <c r="F83" s="173"/>
      <c r="G83" s="173"/>
      <c r="H83" s="173" t="str">
        <f>IF(G83="","",(VLOOKUP(Z83,'Reference List'!$B$3:$D$173,2,FALSE)))</f>
        <v/>
      </c>
      <c r="I83" s="175" t="str">
        <f>IF(G83="","",(VLOOKUP(Z83,'Reference List'!$B$3:$F$202,5,FALSE)))</f>
        <v/>
      </c>
      <c r="J83" s="198" t="str">
        <f t="shared" ref="J83:J105" si="3">IF(LEFT(G83,8)="BUNNINGS","Loscam pallets only",IF(G83="MM ELECTRICAL BIBRA LAKE WA","Plain pallets only",""))</f>
        <v/>
      </c>
      <c r="K83" s="56"/>
      <c r="L83" s="56"/>
      <c r="M83" s="56"/>
      <c r="Z83" s="203">
        <v>3200540</v>
      </c>
    </row>
    <row r="84" spans="1:26" x14ac:dyDescent="0.25">
      <c r="A84" s="47">
        <v>79</v>
      </c>
      <c r="B84" s="180" t="s">
        <v>532</v>
      </c>
      <c r="C84" s="187">
        <f t="shared" si="2"/>
        <v>43830</v>
      </c>
      <c r="D84" s="173"/>
      <c r="E84" s="173"/>
      <c r="F84" s="173"/>
      <c r="G84" s="173"/>
      <c r="H84" s="173" t="str">
        <f>IF(G84="","",(VLOOKUP(Z84,'Reference List'!$B$3:$D$173,2,FALSE)))</f>
        <v/>
      </c>
      <c r="I84" s="175" t="str">
        <f>IF(G84="","",(VLOOKUP(Z84,'Reference List'!$B$3:$F$202,5,FALSE)))</f>
        <v/>
      </c>
      <c r="J84" s="198" t="str">
        <f t="shared" si="3"/>
        <v/>
      </c>
      <c r="K84" s="56"/>
      <c r="L84" s="56"/>
      <c r="M84" s="56"/>
      <c r="Z84" s="203">
        <v>3200540</v>
      </c>
    </row>
    <row r="85" spans="1:26" x14ac:dyDescent="0.25">
      <c r="A85" s="59">
        <v>80</v>
      </c>
      <c r="B85" s="180" t="s">
        <v>533</v>
      </c>
      <c r="C85" s="187">
        <f t="shared" si="2"/>
        <v>43830</v>
      </c>
      <c r="D85" s="173"/>
      <c r="E85" s="173"/>
      <c r="F85" s="173"/>
      <c r="G85" s="173"/>
      <c r="H85" s="173" t="str">
        <f>IF(G85="","",(VLOOKUP(Z85,'Reference List'!$B$3:$D$173,2,FALSE)))</f>
        <v/>
      </c>
      <c r="I85" s="175" t="str">
        <f>IF(G85="","",(VLOOKUP(Z85,'Reference List'!$B$3:$F$202,5,FALSE)))</f>
        <v/>
      </c>
      <c r="J85" s="198" t="str">
        <f t="shared" si="3"/>
        <v/>
      </c>
      <c r="K85" s="56"/>
      <c r="L85" s="56"/>
      <c r="M85" s="56"/>
      <c r="Z85" s="203">
        <v>3200540</v>
      </c>
    </row>
    <row r="86" spans="1:26" x14ac:dyDescent="0.25">
      <c r="A86" s="47">
        <v>81</v>
      </c>
      <c r="B86" s="180" t="s">
        <v>534</v>
      </c>
      <c r="C86" s="187">
        <f t="shared" si="2"/>
        <v>43830</v>
      </c>
      <c r="D86" s="173"/>
      <c r="E86" s="173"/>
      <c r="F86" s="173"/>
      <c r="G86" s="173"/>
      <c r="H86" s="173" t="str">
        <f>IF(G86="","",(VLOOKUP(Z86,'Reference List'!$B$3:$D$173,2,FALSE)))</f>
        <v/>
      </c>
      <c r="I86" s="175" t="str">
        <f>IF(G86="","",(VLOOKUP(Z86,'Reference List'!$B$3:$F$202,5,FALSE)))</f>
        <v/>
      </c>
      <c r="J86" s="198" t="str">
        <f t="shared" si="3"/>
        <v/>
      </c>
      <c r="K86" s="56"/>
      <c r="L86" s="56"/>
      <c r="M86" s="56"/>
      <c r="Z86" s="203">
        <v>3200540</v>
      </c>
    </row>
    <row r="87" spans="1:26" x14ac:dyDescent="0.25">
      <c r="A87" s="47">
        <v>82</v>
      </c>
      <c r="B87" s="180" t="s">
        <v>535</v>
      </c>
      <c r="C87" s="187">
        <f t="shared" si="2"/>
        <v>43830</v>
      </c>
      <c r="D87" s="173"/>
      <c r="E87" s="173"/>
      <c r="F87" s="173"/>
      <c r="G87" s="173"/>
      <c r="H87" s="173" t="str">
        <f>IF(G87="","",(VLOOKUP(Z87,'Reference List'!$B$3:$D$173,2,FALSE)))</f>
        <v/>
      </c>
      <c r="I87" s="175" t="str">
        <f>IF(G87="","",(VLOOKUP(Z87,'Reference List'!$B$3:$F$202,5,FALSE)))</f>
        <v/>
      </c>
      <c r="J87" s="198" t="str">
        <f t="shared" si="3"/>
        <v/>
      </c>
      <c r="K87" s="56"/>
      <c r="L87" s="56"/>
      <c r="M87" s="56"/>
      <c r="Z87" s="203">
        <v>3200540</v>
      </c>
    </row>
    <row r="88" spans="1:26" x14ac:dyDescent="0.25">
      <c r="A88" s="59">
        <v>83</v>
      </c>
      <c r="B88" s="180" t="s">
        <v>536</v>
      </c>
      <c r="C88" s="187">
        <f t="shared" si="2"/>
        <v>43830</v>
      </c>
      <c r="D88" s="173"/>
      <c r="E88" s="173"/>
      <c r="F88" s="173"/>
      <c r="G88" s="173"/>
      <c r="H88" s="173" t="str">
        <f>IF(G88="","",(VLOOKUP(Z88,'Reference List'!$B$3:$D$173,2,FALSE)))</f>
        <v/>
      </c>
      <c r="I88" s="175" t="str">
        <f>IF(G88="","",(VLOOKUP(Z88,'Reference List'!$B$3:$F$202,5,FALSE)))</f>
        <v/>
      </c>
      <c r="J88" s="198" t="str">
        <f t="shared" si="3"/>
        <v/>
      </c>
      <c r="K88" s="56"/>
      <c r="L88" s="56"/>
      <c r="M88" s="56"/>
      <c r="Z88" s="203">
        <v>3200540</v>
      </c>
    </row>
    <row r="89" spans="1:26" x14ac:dyDescent="0.25">
      <c r="A89" s="47">
        <v>84</v>
      </c>
      <c r="B89" s="180" t="s">
        <v>537</v>
      </c>
      <c r="C89" s="187">
        <f t="shared" si="2"/>
        <v>43830</v>
      </c>
      <c r="D89" s="173"/>
      <c r="E89" s="173"/>
      <c r="F89" s="173"/>
      <c r="G89" s="173"/>
      <c r="H89" s="173" t="str">
        <f>IF(G89="","",(VLOOKUP(Z89,'Reference List'!$B$3:$D$173,2,FALSE)))</f>
        <v/>
      </c>
      <c r="I89" s="175" t="str">
        <f>IF(G89="","",(VLOOKUP(Z89,'Reference List'!$B$3:$F$202,5,FALSE)))</f>
        <v/>
      </c>
      <c r="J89" s="198" t="str">
        <f t="shared" si="3"/>
        <v/>
      </c>
      <c r="K89" s="56"/>
      <c r="L89" s="56"/>
      <c r="M89" s="56"/>
      <c r="Z89" s="203">
        <v>3200540</v>
      </c>
    </row>
    <row r="90" spans="1:26" x14ac:dyDescent="0.25">
      <c r="A90" s="47">
        <v>85</v>
      </c>
      <c r="B90" s="180" t="s">
        <v>538</v>
      </c>
      <c r="C90" s="187">
        <f t="shared" si="2"/>
        <v>43830</v>
      </c>
      <c r="D90" s="173"/>
      <c r="E90" s="173"/>
      <c r="F90" s="173"/>
      <c r="G90" s="173"/>
      <c r="H90" s="173" t="str">
        <f>IF(G90="","",(VLOOKUP(Z90,'Reference List'!$B$3:$D$173,2,FALSE)))</f>
        <v/>
      </c>
      <c r="I90" s="175" t="str">
        <f>IF(G90="","",(VLOOKUP(Z90,'Reference List'!$B$3:$F$202,5,FALSE)))</f>
        <v/>
      </c>
      <c r="J90" s="198" t="str">
        <f t="shared" si="3"/>
        <v/>
      </c>
      <c r="K90" s="56"/>
      <c r="L90" s="56"/>
      <c r="M90" s="56"/>
      <c r="Z90" s="203">
        <v>3200540</v>
      </c>
    </row>
    <row r="91" spans="1:26" x14ac:dyDescent="0.25">
      <c r="A91" s="59">
        <v>86</v>
      </c>
      <c r="B91" s="180" t="s">
        <v>539</v>
      </c>
      <c r="C91" s="187">
        <f t="shared" si="2"/>
        <v>43830</v>
      </c>
      <c r="D91" s="173"/>
      <c r="E91" s="173"/>
      <c r="F91" s="173"/>
      <c r="G91" s="173"/>
      <c r="H91" s="173" t="str">
        <f>IF(G91="","",(VLOOKUP(Z91,'Reference List'!$B$3:$D$173,2,FALSE)))</f>
        <v/>
      </c>
      <c r="I91" s="175" t="str">
        <f>IF(G91="","",(VLOOKUP(Z91,'Reference List'!$B$3:$F$202,5,FALSE)))</f>
        <v/>
      </c>
      <c r="J91" s="198" t="str">
        <f t="shared" si="3"/>
        <v/>
      </c>
      <c r="K91" s="56"/>
      <c r="L91" s="56"/>
      <c r="M91" s="56"/>
      <c r="Z91" s="203">
        <v>3200540</v>
      </c>
    </row>
    <row r="92" spans="1:26" x14ac:dyDescent="0.25">
      <c r="A92" s="47">
        <v>87</v>
      </c>
      <c r="B92" s="180" t="s">
        <v>540</v>
      </c>
      <c r="C92" s="187">
        <f t="shared" si="2"/>
        <v>43830</v>
      </c>
      <c r="D92" s="173"/>
      <c r="E92" s="173"/>
      <c r="F92" s="173"/>
      <c r="G92" s="173"/>
      <c r="H92" s="173" t="str">
        <f>IF(G92="","",(VLOOKUP(Z92,'Reference List'!$B$3:$D$173,2,FALSE)))</f>
        <v/>
      </c>
      <c r="I92" s="175" t="str">
        <f>IF(G92="","",(VLOOKUP(Z92,'Reference List'!$B$3:$F$202,5,FALSE)))</f>
        <v/>
      </c>
      <c r="J92" s="198" t="str">
        <f t="shared" si="3"/>
        <v/>
      </c>
      <c r="K92" s="56"/>
      <c r="L92" s="56"/>
      <c r="M92" s="56"/>
      <c r="Z92" s="203">
        <v>3200540</v>
      </c>
    </row>
    <row r="93" spans="1:26" x14ac:dyDescent="0.25">
      <c r="A93" s="47">
        <v>88</v>
      </c>
      <c r="B93" s="180" t="s">
        <v>541</v>
      </c>
      <c r="C93" s="187">
        <f t="shared" si="2"/>
        <v>43830</v>
      </c>
      <c r="D93" s="173"/>
      <c r="E93" s="173"/>
      <c r="F93" s="173"/>
      <c r="G93" s="173"/>
      <c r="H93" s="173" t="str">
        <f>IF(G93="","",(VLOOKUP(Z93,'Reference List'!$B$3:$D$173,2,FALSE)))</f>
        <v/>
      </c>
      <c r="I93" s="175" t="str">
        <f>IF(G93="","",(VLOOKUP(Z93,'Reference List'!$B$3:$F$202,5,FALSE)))</f>
        <v/>
      </c>
      <c r="J93" s="198" t="str">
        <f t="shared" si="3"/>
        <v/>
      </c>
      <c r="K93" s="56"/>
      <c r="L93" s="56"/>
      <c r="M93" s="56"/>
      <c r="Z93" s="203">
        <v>3200540</v>
      </c>
    </row>
    <row r="94" spans="1:26" x14ac:dyDescent="0.25">
      <c r="A94" s="59">
        <v>89</v>
      </c>
      <c r="B94" s="180" t="s">
        <v>542</v>
      </c>
      <c r="C94" s="187">
        <f t="shared" si="2"/>
        <v>43830</v>
      </c>
      <c r="D94" s="173"/>
      <c r="E94" s="173"/>
      <c r="F94" s="173"/>
      <c r="G94" s="173"/>
      <c r="H94" s="173" t="str">
        <f>IF(G94="","",(VLOOKUP(Z94,'Reference List'!$B$3:$D$173,2,FALSE)))</f>
        <v/>
      </c>
      <c r="I94" s="175" t="str">
        <f>IF(G94="","",(VLOOKUP(Z94,'Reference List'!$B$3:$F$202,5,FALSE)))</f>
        <v/>
      </c>
      <c r="J94" s="198" t="str">
        <f t="shared" si="3"/>
        <v/>
      </c>
      <c r="K94" s="56"/>
      <c r="L94" s="56"/>
      <c r="M94" s="56"/>
      <c r="Z94" s="203">
        <v>3200540</v>
      </c>
    </row>
    <row r="95" spans="1:26" x14ac:dyDescent="0.25">
      <c r="A95" s="47">
        <v>90</v>
      </c>
      <c r="B95" s="180" t="s">
        <v>543</v>
      </c>
      <c r="C95" s="187">
        <f t="shared" si="2"/>
        <v>43830</v>
      </c>
      <c r="D95" s="173"/>
      <c r="E95" s="173"/>
      <c r="F95" s="173"/>
      <c r="G95" s="173"/>
      <c r="H95" s="173" t="str">
        <f>IF(G95="","",(VLOOKUP(Z95,'Reference List'!$B$3:$D$173,2,FALSE)))</f>
        <v/>
      </c>
      <c r="I95" s="175" t="str">
        <f>IF(G95="","",(VLOOKUP(Z95,'Reference List'!$B$3:$F$202,5,FALSE)))</f>
        <v/>
      </c>
      <c r="J95" s="198" t="str">
        <f t="shared" si="3"/>
        <v/>
      </c>
      <c r="K95" s="56"/>
      <c r="L95" s="56"/>
      <c r="M95" s="56"/>
      <c r="Z95" s="203">
        <v>3200540</v>
      </c>
    </row>
    <row r="96" spans="1:26" x14ac:dyDescent="0.25">
      <c r="A96" s="47">
        <v>91</v>
      </c>
      <c r="B96" s="180" t="s">
        <v>544</v>
      </c>
      <c r="C96" s="187">
        <f t="shared" si="2"/>
        <v>43830</v>
      </c>
      <c r="D96" s="173"/>
      <c r="E96" s="173"/>
      <c r="F96" s="173"/>
      <c r="G96" s="173"/>
      <c r="H96" s="173" t="str">
        <f>IF(G96="","",(VLOOKUP(Z96,'Reference List'!$B$3:$D$173,2,FALSE)))</f>
        <v/>
      </c>
      <c r="I96" s="175" t="str">
        <f>IF(G96="","",(VLOOKUP(Z96,'Reference List'!$B$3:$F$202,5,FALSE)))</f>
        <v/>
      </c>
      <c r="J96" s="198" t="str">
        <f t="shared" si="3"/>
        <v/>
      </c>
      <c r="K96" s="56"/>
      <c r="L96" s="56"/>
      <c r="M96" s="56"/>
      <c r="Z96" s="203">
        <v>3200540</v>
      </c>
    </row>
    <row r="97" spans="1:26" x14ac:dyDescent="0.25">
      <c r="A97" s="59">
        <v>92</v>
      </c>
      <c r="B97" s="180" t="s">
        <v>545</v>
      </c>
      <c r="C97" s="187">
        <f t="shared" si="2"/>
        <v>43830</v>
      </c>
      <c r="D97" s="173"/>
      <c r="E97" s="173"/>
      <c r="F97" s="173"/>
      <c r="G97" s="173"/>
      <c r="H97" s="173" t="str">
        <f>IF(G97="","",(VLOOKUP(Z97,'Reference List'!$B$3:$D$173,2,FALSE)))</f>
        <v/>
      </c>
      <c r="I97" s="175" t="str">
        <f>IF(G97="","",(VLOOKUP(Z97,'Reference List'!$B$3:$F$202,5,FALSE)))</f>
        <v/>
      </c>
      <c r="J97" s="198" t="str">
        <f t="shared" si="3"/>
        <v/>
      </c>
      <c r="K97" s="56"/>
      <c r="L97" s="56"/>
      <c r="M97" s="56"/>
      <c r="Z97" s="203">
        <v>3200540</v>
      </c>
    </row>
    <row r="98" spans="1:26" x14ac:dyDescent="0.25">
      <c r="A98" s="47">
        <v>93</v>
      </c>
      <c r="B98" s="180" t="s">
        <v>546</v>
      </c>
      <c r="C98" s="187">
        <f t="shared" si="2"/>
        <v>43830</v>
      </c>
      <c r="D98" s="173"/>
      <c r="E98" s="173"/>
      <c r="F98" s="173"/>
      <c r="G98" s="173"/>
      <c r="H98" s="173" t="str">
        <f>IF(G98="","",(VLOOKUP(Z98,'Reference List'!$B$3:$D$173,2,FALSE)))</f>
        <v/>
      </c>
      <c r="I98" s="175" t="str">
        <f>IF(G98="","",(VLOOKUP(Z98,'Reference List'!$B$3:$F$202,5,FALSE)))</f>
        <v/>
      </c>
      <c r="J98" s="198" t="str">
        <f t="shared" si="3"/>
        <v/>
      </c>
      <c r="K98" s="56"/>
      <c r="L98" s="56"/>
      <c r="M98" s="56"/>
      <c r="Z98" s="203">
        <v>3200540</v>
      </c>
    </row>
    <row r="99" spans="1:26" x14ac:dyDescent="0.25">
      <c r="A99" s="47">
        <v>94</v>
      </c>
      <c r="B99" s="180" t="s">
        <v>547</v>
      </c>
      <c r="C99" s="187">
        <f t="shared" si="2"/>
        <v>43830</v>
      </c>
      <c r="D99" s="173"/>
      <c r="E99" s="173"/>
      <c r="F99" s="173"/>
      <c r="G99" s="173"/>
      <c r="H99" s="173" t="str">
        <f>IF(G99="","",(VLOOKUP(Z99,'Reference List'!$B$3:$D$173,2,FALSE)))</f>
        <v/>
      </c>
      <c r="I99" s="175" t="str">
        <f>IF(G99="","",(VLOOKUP(Z99,'Reference List'!$B$3:$F$202,5,FALSE)))</f>
        <v/>
      </c>
      <c r="J99" s="198" t="str">
        <f t="shared" si="3"/>
        <v/>
      </c>
      <c r="K99" s="56"/>
      <c r="L99" s="56"/>
      <c r="M99" s="56"/>
      <c r="Z99" s="203">
        <v>3200540</v>
      </c>
    </row>
    <row r="100" spans="1:26" x14ac:dyDescent="0.25">
      <c r="A100" s="59">
        <v>95</v>
      </c>
      <c r="B100" s="180" t="s">
        <v>548</v>
      </c>
      <c r="C100" s="187">
        <f t="shared" si="2"/>
        <v>43830</v>
      </c>
      <c r="D100" s="173"/>
      <c r="E100" s="173"/>
      <c r="F100" s="173"/>
      <c r="G100" s="173"/>
      <c r="H100" s="173" t="str">
        <f>IF(G100="","",(VLOOKUP(Z100,'Reference List'!$B$3:$D$173,2,FALSE)))</f>
        <v/>
      </c>
      <c r="I100" s="175" t="str">
        <f>IF(G100="","",(VLOOKUP(Z100,'Reference List'!$B$3:$F$202,5,FALSE)))</f>
        <v/>
      </c>
      <c r="J100" s="198" t="str">
        <f t="shared" si="3"/>
        <v/>
      </c>
      <c r="K100" s="56"/>
      <c r="L100" s="56"/>
      <c r="M100" s="56"/>
      <c r="Z100" s="203">
        <v>3200540</v>
      </c>
    </row>
    <row r="101" spans="1:26" x14ac:dyDescent="0.25">
      <c r="A101" s="47">
        <v>96</v>
      </c>
      <c r="B101" s="180" t="s">
        <v>549</v>
      </c>
      <c r="C101" s="187">
        <f t="shared" si="2"/>
        <v>43830</v>
      </c>
      <c r="D101" s="173"/>
      <c r="E101" s="173"/>
      <c r="F101" s="173"/>
      <c r="G101" s="173"/>
      <c r="H101" s="173" t="str">
        <f>IF(G101="","",(VLOOKUP(Z101,'Reference List'!$B$3:$D$173,2,FALSE)))</f>
        <v/>
      </c>
      <c r="I101" s="175" t="str">
        <f>IF(G101="","",(VLOOKUP(Z101,'Reference List'!$B$3:$F$202,5,FALSE)))</f>
        <v/>
      </c>
      <c r="J101" s="198" t="str">
        <f t="shared" si="3"/>
        <v/>
      </c>
      <c r="K101" s="56"/>
      <c r="L101" s="56"/>
      <c r="M101" s="56"/>
      <c r="Z101" s="203">
        <v>3200540</v>
      </c>
    </row>
    <row r="102" spans="1:26" x14ac:dyDescent="0.25">
      <c r="A102" s="47">
        <v>97</v>
      </c>
      <c r="B102" s="180" t="s">
        <v>550</v>
      </c>
      <c r="C102" s="187">
        <f t="shared" si="2"/>
        <v>43830</v>
      </c>
      <c r="D102" s="56"/>
      <c r="E102" s="56"/>
      <c r="F102" s="56"/>
      <c r="G102" s="56"/>
      <c r="H102" s="173" t="str">
        <f>IF(G102="","",(VLOOKUP(Z102,'Reference List'!$B$3:$D$173,2,FALSE)))</f>
        <v/>
      </c>
      <c r="I102" s="175" t="str">
        <f>IF(G102="","",(VLOOKUP(Z102,'Reference List'!$B$3:$F$202,5,FALSE)))</f>
        <v/>
      </c>
      <c r="J102" s="198" t="str">
        <f t="shared" si="3"/>
        <v/>
      </c>
      <c r="K102" s="56"/>
      <c r="L102" s="56"/>
      <c r="M102" s="56"/>
      <c r="Z102" s="203">
        <v>3200540</v>
      </c>
    </row>
    <row r="103" spans="1:26" x14ac:dyDescent="0.25">
      <c r="A103" s="59">
        <v>98</v>
      </c>
      <c r="B103" s="180" t="s">
        <v>551</v>
      </c>
      <c r="C103" s="187">
        <f t="shared" si="2"/>
        <v>43830</v>
      </c>
      <c r="D103" s="56"/>
      <c r="E103" s="56"/>
      <c r="F103" s="56"/>
      <c r="G103" s="56"/>
      <c r="H103" s="173" t="str">
        <f>IF(G103="","",(VLOOKUP(Z103,'Reference List'!$B$3:$D$173,2,FALSE)))</f>
        <v/>
      </c>
      <c r="I103" s="175" t="str">
        <f>IF(G103="","",(VLOOKUP(Z103,'Reference List'!$B$3:$F$202,5,FALSE)))</f>
        <v/>
      </c>
      <c r="J103" s="198" t="str">
        <f t="shared" si="3"/>
        <v/>
      </c>
      <c r="K103" s="56"/>
      <c r="L103" s="56"/>
      <c r="M103" s="56"/>
      <c r="Z103" s="203">
        <v>3200540</v>
      </c>
    </row>
    <row r="104" spans="1:26" x14ac:dyDescent="0.25">
      <c r="A104" s="47">
        <v>99</v>
      </c>
      <c r="B104" s="180" t="s">
        <v>552</v>
      </c>
      <c r="C104" s="187">
        <f t="shared" si="2"/>
        <v>43830</v>
      </c>
      <c r="D104" s="56"/>
      <c r="E104" s="56"/>
      <c r="F104" s="56"/>
      <c r="G104" s="56"/>
      <c r="H104" s="173" t="str">
        <f>IF(G104="","",(VLOOKUP(Z104,'Reference List'!$B$3:$D$173,2,FALSE)))</f>
        <v/>
      </c>
      <c r="I104" s="175" t="str">
        <f>IF(G104="","",(VLOOKUP(Z104,'Reference List'!$B$3:$F$202,5,FALSE)))</f>
        <v/>
      </c>
      <c r="J104" s="198" t="str">
        <f t="shared" si="3"/>
        <v/>
      </c>
      <c r="K104" s="56"/>
      <c r="L104" s="56"/>
      <c r="M104" s="56"/>
      <c r="Z104" s="203">
        <v>3200540</v>
      </c>
    </row>
    <row r="105" spans="1:26" x14ac:dyDescent="0.25">
      <c r="A105" s="47">
        <v>100</v>
      </c>
      <c r="B105" s="180" t="s">
        <v>553</v>
      </c>
      <c r="C105" s="187">
        <f t="shared" si="2"/>
        <v>43830</v>
      </c>
      <c r="D105" s="56"/>
      <c r="E105" s="56"/>
      <c r="F105" s="56"/>
      <c r="G105" s="56"/>
      <c r="H105" s="173" t="str">
        <f>IF(G105="","",(VLOOKUP(Z105,'Reference List'!$B$3:$D$173,2,FALSE)))</f>
        <v/>
      </c>
      <c r="I105" s="175" t="str">
        <f>IF(G105="","",(VLOOKUP(Z105,'Reference List'!$B$3:$F$202,5,FALSE)))</f>
        <v/>
      </c>
      <c r="J105" s="198" t="str">
        <f t="shared" si="3"/>
        <v/>
      </c>
      <c r="K105" s="56"/>
      <c r="L105" s="56"/>
      <c r="M105" s="56"/>
      <c r="Z105" s="203">
        <v>3200540</v>
      </c>
    </row>
    <row r="106" spans="1:26" x14ac:dyDescent="0.25">
      <c r="E106">
        <f>COUNTA(E7:E16)</f>
        <v>0</v>
      </c>
      <c r="K106">
        <f>SUM(K7:K16)</f>
        <v>0</v>
      </c>
      <c r="Z106">
        <v>3200540</v>
      </c>
    </row>
  </sheetData>
  <mergeCells count="5">
    <mergeCell ref="G4:H4"/>
    <mergeCell ref="D6:J6"/>
    <mergeCell ref="K5:L5"/>
    <mergeCell ref="K2:L2"/>
    <mergeCell ref="B17:K17"/>
  </mergeCells>
  <conditionalFormatting sqref="G43">
    <cfRule type="cellIs" dxfId="236" priority="34" operator="equal">
      <formula>#N/A</formula>
    </cfRule>
  </conditionalFormatting>
  <conditionalFormatting sqref="G3 G8 G28:G35 G10:G16 G37:G43 G18:G24">
    <cfRule type="cellIs" dxfId="235" priority="33" operator="equal">
      <formula>#N/A</formula>
    </cfRule>
  </conditionalFormatting>
  <conditionalFormatting sqref="G44">
    <cfRule type="cellIs" dxfId="234" priority="32" operator="equal">
      <formula>#N/A</formula>
    </cfRule>
  </conditionalFormatting>
  <conditionalFormatting sqref="F1:F2">
    <cfRule type="cellIs" dxfId="233" priority="31" operator="equal">
      <formula>#N/A</formula>
    </cfRule>
  </conditionalFormatting>
  <conditionalFormatting sqref="G25 G27">
    <cfRule type="cellIs" dxfId="232" priority="29" operator="equal">
      <formula>#N/A</formula>
    </cfRule>
  </conditionalFormatting>
  <conditionalFormatting sqref="G5:G6">
    <cfRule type="cellIs" dxfId="231" priority="27" operator="equal">
      <formula>#N/A</formula>
    </cfRule>
  </conditionalFormatting>
  <conditionalFormatting sqref="M7:M24">
    <cfRule type="cellIs" dxfId="230" priority="24" operator="equal">
      <formula>"DRY"</formula>
    </cfRule>
    <cfRule type="cellIs" dxfId="229" priority="25" operator="equal">
      <formula>"CH"</formula>
    </cfRule>
  </conditionalFormatting>
  <conditionalFormatting sqref="M25:M61 M6">
    <cfRule type="cellIs" dxfId="228" priority="22" operator="equal">
      <formula>"DRY"</formula>
    </cfRule>
    <cfRule type="cellIs" dxfId="227" priority="23" operator="equal">
      <formula>"CHILLER"</formula>
    </cfRule>
  </conditionalFormatting>
  <conditionalFormatting sqref="G9">
    <cfRule type="cellIs" dxfId="226" priority="21" operator="equal">
      <formula>#N/A</formula>
    </cfRule>
  </conditionalFormatting>
  <conditionalFormatting sqref="G26">
    <cfRule type="cellIs" dxfId="225" priority="20" operator="equal">
      <formula>#N/A</formula>
    </cfRule>
  </conditionalFormatting>
  <conditionalFormatting sqref="G7">
    <cfRule type="cellIs" dxfId="224" priority="19" operator="equal">
      <formula>#N/A</formula>
    </cfRule>
  </conditionalFormatting>
  <conditionalFormatting sqref="H7:H16 H18:H105">
    <cfRule type="cellIs" dxfId="223" priority="10" operator="equal">
      <formula>"Return"</formula>
    </cfRule>
    <cfRule type="cellIs" dxfId="222" priority="11" operator="equal">
      <formula>"Customer Pickup"</formula>
    </cfRule>
    <cfRule type="cellIs" dxfId="221" priority="12" operator="equal">
      <formula>"Bluestar logistics"</formula>
    </cfRule>
  </conditionalFormatting>
  <conditionalFormatting sqref="B17">
    <cfRule type="cellIs" dxfId="220" priority="2" operator="equal">
      <formula>"Return"</formula>
    </cfRule>
    <cfRule type="cellIs" dxfId="219" priority="3" operator="equal">
      <formula>"Customer Pickup"</formula>
    </cfRule>
    <cfRule type="cellIs" dxfId="218" priority="4" operator="equal">
      <formula>"Bluestar Logistics"</formula>
    </cfRule>
  </conditionalFormatting>
  <conditionalFormatting sqref="E18:E105">
    <cfRule type="duplicateValues" dxfId="217" priority="1"/>
  </conditionalFormatting>
  <dataValidations count="1">
    <dataValidation type="list" allowBlank="1" showInputMessage="1" showErrorMessage="1" sqref="M6:M54" xr:uid="{00000000-0002-0000-0200-000000000000}">
      <formula1>TEMP</formula1>
    </dataValidation>
  </dataValidations>
  <pageMargins left="0.7" right="0.7" top="0.75" bottom="0.75" header="0.3" footer="0.3"/>
  <pageSetup paperSize="9" scale="76" orientation="landscape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Print_CoverSheet.Print_CoverSheet">
                <anchor moveWithCells="1" sizeWithCells="1">
                  <from>
                    <xdr:col>12</xdr:col>
                    <xdr:colOff>0</xdr:colOff>
                    <xdr:row>1</xdr:row>
                    <xdr:rowOff>523875</xdr:rowOff>
                  </from>
                  <to>
                    <xdr:col>14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BillofLading.BillofLading">
                <anchor moveWithCells="1" sizeWithCells="1">
                  <from>
                    <xdr:col>10</xdr:col>
                    <xdr:colOff>9525</xdr:colOff>
                    <xdr:row>22</xdr:row>
                    <xdr:rowOff>0</xdr:rowOff>
                  </from>
                  <to>
                    <xdr:col>11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Button 4">
              <controlPr defaultSize="0" print="0" autoFill="0" autoPict="0" macro="[0]!Ship_Pickup">
                <anchor moveWithCells="1" sizeWithCells="1">
                  <from>
                    <xdr:col>11</xdr:col>
                    <xdr:colOff>19050</xdr:colOff>
                    <xdr:row>6</xdr:row>
                    <xdr:rowOff>9525</xdr:rowOff>
                  </from>
                  <to>
                    <xdr:col>11</xdr:col>
                    <xdr:colOff>1495425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Button 5">
              <controlPr defaultSize="0" print="0" autoFill="0" autoPict="0" macro="[0]!Ship_Bluestar">
                <anchor moveWithCells="1" sizeWithCells="1">
                  <from>
                    <xdr:col>10</xdr:col>
                    <xdr:colOff>0</xdr:colOff>
                    <xdr:row>24</xdr:row>
                    <xdr:rowOff>9525</xdr:rowOff>
                  </from>
                  <to>
                    <xdr:col>10</xdr:col>
                    <xdr:colOff>1200150</xdr:colOff>
                    <xdr:row>25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 macro="[0]!Open_Delivery_List">
                <anchor moveWithCells="1" sizeWithCells="1">
                  <from>
                    <xdr:col>11</xdr:col>
                    <xdr:colOff>0</xdr:colOff>
                    <xdr:row>22</xdr:row>
                    <xdr:rowOff>0</xdr:rowOff>
                  </from>
                  <to>
                    <xdr:col>12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pageSetUpPr fitToPage="1"/>
  </sheetPr>
  <dimension ref="A1:Z106"/>
  <sheetViews>
    <sheetView topLeftCell="B2" zoomScaleNormal="100" zoomScaleSheetLayoutView="100" workbookViewId="0">
      <pane ySplit="4" topLeftCell="A6" activePane="bottomLeft" state="frozen"/>
      <selection activeCell="G31" sqref="G31"/>
      <selection pane="bottomLeft" activeCell="G31" sqref="G31"/>
    </sheetView>
  </sheetViews>
  <sheetFormatPr defaultRowHeight="15" x14ac:dyDescent="0.25"/>
  <cols>
    <col min="1" max="1" width="2.85546875" hidden="1" customWidth="1"/>
    <col min="2" max="2" width="9.42578125" customWidth="1"/>
    <col min="3" max="3" width="12.140625" customWidth="1"/>
    <col min="4" max="4" width="12.85546875" customWidth="1"/>
    <col min="5" max="5" width="13.85546875" customWidth="1"/>
    <col min="6" max="6" width="16" customWidth="1"/>
    <col min="7" max="7" width="42.85546875" customWidth="1"/>
    <col min="8" max="8" width="23.85546875" style="152" customWidth="1"/>
    <col min="9" max="9" width="11.85546875" customWidth="1"/>
    <col min="10" max="10" width="36.5703125" customWidth="1"/>
    <col min="11" max="11" width="18.7109375" customWidth="1"/>
    <col min="12" max="12" width="20.42578125" customWidth="1"/>
    <col min="13" max="13" width="14.28515625" hidden="1" customWidth="1"/>
    <col min="14" max="14" width="19.5703125" customWidth="1"/>
    <col min="26" max="26" width="9.140625" hidden="1" customWidth="1"/>
  </cols>
  <sheetData>
    <row r="1" spans="1:26" ht="36.75" hidden="1" customHeight="1" thickBot="1" x14ac:dyDescent="0.3">
      <c r="A1" s="1"/>
      <c r="B1" s="1"/>
      <c r="C1" s="1"/>
      <c r="D1" s="1"/>
      <c r="E1" s="2"/>
      <c r="F1" s="1"/>
      <c r="G1" s="1"/>
      <c r="H1" s="3"/>
      <c r="I1" s="1"/>
      <c r="J1" s="4"/>
      <c r="K1" s="4"/>
      <c r="L1" s="4"/>
    </row>
    <row r="2" spans="1:26" ht="66.75" customHeight="1" thickBot="1" x14ac:dyDescent="0.55000000000000004">
      <c r="A2" s="30"/>
      <c r="B2" s="86"/>
      <c r="C2" s="30"/>
      <c r="D2" s="87"/>
      <c r="E2" s="148" t="s">
        <v>11</v>
      </c>
      <c r="F2" s="30"/>
      <c r="G2" s="30"/>
      <c r="H2" s="150"/>
      <c r="I2" s="159" t="s">
        <v>23</v>
      </c>
      <c r="J2" s="157">
        <f>Monday!J2</f>
        <v>43835</v>
      </c>
      <c r="K2" s="254">
        <f>J2-4</f>
        <v>43831</v>
      </c>
      <c r="L2" s="255"/>
      <c r="M2" s="165"/>
    </row>
    <row r="3" spans="1:26" ht="24" hidden="1" customHeight="1" thickBot="1" x14ac:dyDescent="0.3">
      <c r="A3" s="94"/>
      <c r="B3" s="102" t="s">
        <v>0</v>
      </c>
      <c r="C3" s="102" t="s">
        <v>1</v>
      </c>
      <c r="D3" s="103" t="s">
        <v>13</v>
      </c>
      <c r="E3" s="95" t="s">
        <v>2</v>
      </c>
      <c r="F3" s="95" t="s">
        <v>14</v>
      </c>
      <c r="G3" s="95" t="s">
        <v>15</v>
      </c>
      <c r="H3" s="151" t="s">
        <v>16</v>
      </c>
      <c r="I3" s="158" t="s">
        <v>21</v>
      </c>
      <c r="J3" s="158" t="s">
        <v>4</v>
      </c>
      <c r="K3" s="158"/>
      <c r="L3" s="95" t="s">
        <v>25</v>
      </c>
      <c r="M3" s="97"/>
    </row>
    <row r="4" spans="1:26" ht="24" hidden="1" customHeight="1" thickBot="1" x14ac:dyDescent="0.4">
      <c r="A4" s="67"/>
      <c r="B4" s="63"/>
      <c r="C4" s="64"/>
      <c r="D4" s="65"/>
      <c r="E4" s="69"/>
      <c r="F4" s="70"/>
      <c r="G4" s="251"/>
      <c r="H4" s="243"/>
      <c r="I4" s="65"/>
      <c r="J4" s="65"/>
      <c r="K4" s="65"/>
      <c r="L4" s="65"/>
      <c r="M4" s="66"/>
    </row>
    <row r="5" spans="1:26" ht="22.5" customHeight="1" thickBot="1" x14ac:dyDescent="0.3">
      <c r="A5" s="98"/>
      <c r="B5" s="99" t="s">
        <v>0</v>
      </c>
      <c r="C5" s="99" t="s">
        <v>1</v>
      </c>
      <c r="D5" s="99" t="s">
        <v>26</v>
      </c>
      <c r="E5" s="99" t="s">
        <v>2</v>
      </c>
      <c r="F5" s="99" t="s">
        <v>14</v>
      </c>
      <c r="G5" s="99" t="s">
        <v>455</v>
      </c>
      <c r="H5" s="99" t="s">
        <v>461</v>
      </c>
      <c r="I5" s="99" t="s">
        <v>3</v>
      </c>
      <c r="J5" s="99" t="s">
        <v>517</v>
      </c>
      <c r="K5" s="249" t="s">
        <v>522</v>
      </c>
      <c r="L5" s="250"/>
      <c r="M5" s="101"/>
    </row>
    <row r="6" spans="1:26" ht="15.75" thickBot="1" x14ac:dyDescent="0.3">
      <c r="A6" s="163">
        <v>30</v>
      </c>
      <c r="B6" s="183"/>
      <c r="C6" s="177"/>
      <c r="D6" s="244" t="s">
        <v>518</v>
      </c>
      <c r="E6" s="245"/>
      <c r="F6" s="245"/>
      <c r="G6" s="245"/>
      <c r="H6" s="245"/>
      <c r="I6" s="245"/>
      <c r="J6" s="246"/>
      <c r="K6" s="192" t="s">
        <v>523</v>
      </c>
      <c r="L6" s="179"/>
      <c r="M6" s="162"/>
      <c r="Z6" s="203">
        <v>3200543</v>
      </c>
    </row>
    <row r="7" spans="1:26" x14ac:dyDescent="0.25">
      <c r="A7" s="59">
        <v>1</v>
      </c>
      <c r="B7" s="60" t="s">
        <v>163</v>
      </c>
      <c r="C7" s="68">
        <f>Monday!C7+2</f>
        <v>43831</v>
      </c>
      <c r="D7" s="180"/>
      <c r="E7" s="180"/>
      <c r="F7" s="180"/>
      <c r="G7" s="180"/>
      <c r="H7" s="180" t="str">
        <f>IF(G7="","",(VLOOKUP(Z7,'Reference List'!$B$3:$D$173,2,FALSE)))</f>
        <v/>
      </c>
      <c r="I7" s="181" t="str">
        <f>IF(G7="","",(VLOOKUP(Z7,'Reference List'!$B$3:$F$202,5,FALSE)))</f>
        <v/>
      </c>
      <c r="J7" s="180"/>
      <c r="K7" s="180"/>
      <c r="L7" s="180"/>
      <c r="M7" s="83"/>
      <c r="Z7" s="203">
        <v>3200543</v>
      </c>
    </row>
    <row r="8" spans="1:26" x14ac:dyDescent="0.25">
      <c r="A8" s="59">
        <v>2</v>
      </c>
      <c r="B8" s="60" t="s">
        <v>164</v>
      </c>
      <c r="C8" s="54">
        <f t="shared" ref="C8:C71" si="0">+C7</f>
        <v>43831</v>
      </c>
      <c r="D8" s="180"/>
      <c r="E8" s="180"/>
      <c r="F8" s="180"/>
      <c r="G8" s="180"/>
      <c r="H8" s="180" t="str">
        <f>IF(G8="","",(VLOOKUP(Z8,'Reference List'!$B$3:$D$173,2,FALSE)))</f>
        <v/>
      </c>
      <c r="I8" s="181" t="str">
        <f>IF(G8="","",(VLOOKUP(Z8,'Reference List'!$B$3:$F$202,5,FALSE)))</f>
        <v/>
      </c>
      <c r="J8" s="180"/>
      <c r="K8" s="180"/>
      <c r="L8" s="180"/>
      <c r="M8" s="82"/>
      <c r="Z8" s="203">
        <v>3200543</v>
      </c>
    </row>
    <row r="9" spans="1:26" x14ac:dyDescent="0.25">
      <c r="A9" s="47">
        <v>3</v>
      </c>
      <c r="B9" s="60" t="s">
        <v>165</v>
      </c>
      <c r="C9" s="54">
        <f t="shared" si="0"/>
        <v>43831</v>
      </c>
      <c r="D9" s="180"/>
      <c r="E9" s="180"/>
      <c r="F9" s="180"/>
      <c r="G9" s="180"/>
      <c r="H9" s="180" t="str">
        <f>IF(G9="","",(VLOOKUP(Z9,'Reference List'!$B$3:$D$173,2,FALSE)))</f>
        <v/>
      </c>
      <c r="I9" s="181" t="str">
        <f>IF(G9="","",(VLOOKUP(Z9,'Reference List'!$B$3:$F$202,5,FALSE)))</f>
        <v/>
      </c>
      <c r="J9" s="180"/>
      <c r="K9" s="180"/>
      <c r="L9" s="180"/>
      <c r="M9" s="82"/>
      <c r="Z9" s="203">
        <v>3200543</v>
      </c>
    </row>
    <row r="10" spans="1:26" x14ac:dyDescent="0.25">
      <c r="A10" s="59">
        <v>4</v>
      </c>
      <c r="B10" s="60" t="s">
        <v>166</v>
      </c>
      <c r="C10" s="54">
        <f t="shared" si="0"/>
        <v>43831</v>
      </c>
      <c r="D10" s="180"/>
      <c r="E10" s="180"/>
      <c r="F10" s="180"/>
      <c r="G10" s="180"/>
      <c r="H10" s="180" t="str">
        <f>IF(G10="","",(VLOOKUP(Z10,'Reference List'!$B$3:$D$173,2,FALSE)))</f>
        <v/>
      </c>
      <c r="I10" s="181" t="str">
        <f>IF(G10="","",(VLOOKUP(Z10,'Reference List'!$B$3:$F$202,5,FALSE)))</f>
        <v/>
      </c>
      <c r="J10" s="180"/>
      <c r="K10" s="180"/>
      <c r="L10" s="182"/>
      <c r="M10" s="82"/>
      <c r="Z10" s="203">
        <v>3200543</v>
      </c>
    </row>
    <row r="11" spans="1:26" x14ac:dyDescent="0.25">
      <c r="A11" s="47">
        <v>5</v>
      </c>
      <c r="B11" s="60" t="s">
        <v>167</v>
      </c>
      <c r="C11" s="54">
        <f t="shared" si="0"/>
        <v>43831</v>
      </c>
      <c r="D11" s="180"/>
      <c r="E11" s="180"/>
      <c r="F11" s="180"/>
      <c r="G11" s="180"/>
      <c r="H11" s="180" t="str">
        <f>IF(G11="","",(VLOOKUP(Z11,'Reference List'!$B$3:$D$173,2,FALSE)))</f>
        <v/>
      </c>
      <c r="I11" s="181" t="str">
        <f>IF(G11="","",(VLOOKUP(Z11,'Reference List'!$B$3:$F$202,5,FALSE)))</f>
        <v/>
      </c>
      <c r="J11" s="180"/>
      <c r="K11" s="180"/>
      <c r="L11" s="182"/>
      <c r="M11" s="82"/>
      <c r="Z11" s="203">
        <v>3200543</v>
      </c>
    </row>
    <row r="12" spans="1:26" x14ac:dyDescent="0.25">
      <c r="A12" s="59">
        <v>6</v>
      </c>
      <c r="B12" s="60" t="s">
        <v>168</v>
      </c>
      <c r="C12" s="54">
        <f t="shared" si="0"/>
        <v>43831</v>
      </c>
      <c r="D12" s="180"/>
      <c r="E12" s="180"/>
      <c r="F12" s="180"/>
      <c r="G12" s="180"/>
      <c r="H12" s="180" t="str">
        <f>IF(G12="","",(VLOOKUP(Z12,'Reference List'!$B$3:$D$173,2,FALSE)))</f>
        <v/>
      </c>
      <c r="I12" s="181" t="str">
        <f>IF(G12="","",(VLOOKUP(Z12,'Reference List'!$B$3:$F$202,5,FALSE)))</f>
        <v/>
      </c>
      <c r="J12" s="180"/>
      <c r="K12" s="180"/>
      <c r="L12" s="182"/>
      <c r="M12" s="82"/>
      <c r="Z12" s="203">
        <v>3200543</v>
      </c>
    </row>
    <row r="13" spans="1:26" x14ac:dyDescent="0.25">
      <c r="A13" s="47">
        <v>7</v>
      </c>
      <c r="B13" s="60" t="s">
        <v>169</v>
      </c>
      <c r="C13" s="54">
        <f t="shared" si="0"/>
        <v>43831</v>
      </c>
      <c r="D13" s="180"/>
      <c r="E13" s="180"/>
      <c r="F13" s="180"/>
      <c r="G13" s="180"/>
      <c r="H13" s="180" t="str">
        <f>IF(G13="","",(VLOOKUP(Z13,'Reference List'!$B$3:$D$173,2,FALSE)))</f>
        <v/>
      </c>
      <c r="I13" s="181" t="str">
        <f>IF(G13="","",(VLOOKUP(Z13,'Reference List'!$B$3:$F$202,5,FALSE)))</f>
        <v/>
      </c>
      <c r="J13" s="180"/>
      <c r="K13" s="180"/>
      <c r="L13" s="180"/>
      <c r="M13" s="82"/>
      <c r="Z13" s="203">
        <v>3200543</v>
      </c>
    </row>
    <row r="14" spans="1:26" x14ac:dyDescent="0.25">
      <c r="A14" s="59">
        <v>8</v>
      </c>
      <c r="B14" s="60" t="s">
        <v>170</v>
      </c>
      <c r="C14" s="54">
        <f t="shared" si="0"/>
        <v>43831</v>
      </c>
      <c r="D14" s="180"/>
      <c r="E14" s="180"/>
      <c r="F14" s="180"/>
      <c r="G14" s="180"/>
      <c r="H14" s="180" t="str">
        <f>IF(G14="","",(VLOOKUP(Z14,'Reference List'!$B$3:$D$173,2,FALSE)))</f>
        <v/>
      </c>
      <c r="I14" s="181" t="str">
        <f>IF(G14="","",(VLOOKUP(Z14,'Reference List'!$B$3:$F$202,5,FALSE)))</f>
        <v/>
      </c>
      <c r="J14" s="180"/>
      <c r="K14" s="180"/>
      <c r="L14" s="180"/>
      <c r="M14" s="82"/>
      <c r="Z14" s="203">
        <v>3200543</v>
      </c>
    </row>
    <row r="15" spans="1:26" x14ac:dyDescent="0.25">
      <c r="A15" s="47">
        <v>9</v>
      </c>
      <c r="B15" s="60" t="s">
        <v>171</v>
      </c>
      <c r="C15" s="54">
        <f t="shared" si="0"/>
        <v>43831</v>
      </c>
      <c r="D15" s="180"/>
      <c r="E15" s="180"/>
      <c r="F15" s="180"/>
      <c r="G15" s="180"/>
      <c r="H15" s="180" t="str">
        <f>IF(G15="","",(VLOOKUP(Z15,'Reference List'!$B$3:$D$173,2,FALSE)))</f>
        <v/>
      </c>
      <c r="I15" s="181" t="str">
        <f>IF(G15="","",(VLOOKUP(Z15,'Reference List'!$B$3:$F$202,5,FALSE)))</f>
        <v/>
      </c>
      <c r="J15" s="180"/>
      <c r="K15" s="180"/>
      <c r="L15" s="180"/>
      <c r="M15" s="82"/>
      <c r="Z15" s="203">
        <v>3200543</v>
      </c>
    </row>
    <row r="16" spans="1:26" ht="15.75" thickBot="1" x14ac:dyDescent="0.3">
      <c r="A16" s="59">
        <v>10</v>
      </c>
      <c r="B16" s="60" t="s">
        <v>172</v>
      </c>
      <c r="C16" s="54">
        <f t="shared" si="0"/>
        <v>43831</v>
      </c>
      <c r="D16" s="180"/>
      <c r="E16" s="180"/>
      <c r="F16" s="180"/>
      <c r="G16" s="180"/>
      <c r="H16" s="180" t="str">
        <f>IF(G16="","",(VLOOKUP(Z16,'Reference List'!$B$3:$D$173,2,FALSE)))</f>
        <v/>
      </c>
      <c r="I16" s="181" t="str">
        <f>IF(G16="","",(VLOOKUP(Z16,'Reference List'!$B$3:$F$202,5,FALSE)))</f>
        <v/>
      </c>
      <c r="J16" s="180"/>
      <c r="K16" s="180"/>
      <c r="L16" s="180"/>
      <c r="M16" s="82"/>
      <c r="Z16" s="203">
        <v>3200543</v>
      </c>
    </row>
    <row r="17" spans="1:26" ht="15.75" thickBot="1" x14ac:dyDescent="0.3">
      <c r="A17" s="47">
        <v>11</v>
      </c>
      <c r="B17" s="237" t="s">
        <v>529</v>
      </c>
      <c r="C17" s="238"/>
      <c r="D17" s="238"/>
      <c r="E17" s="238"/>
      <c r="F17" s="238"/>
      <c r="G17" s="238"/>
      <c r="H17" s="238"/>
      <c r="I17" s="238"/>
      <c r="J17" s="238"/>
      <c r="K17" s="238"/>
      <c r="L17" s="261">
        <f>COUNTA(D18:D105)</f>
        <v>0</v>
      </c>
      <c r="M17" s="82"/>
      <c r="Z17" s="203">
        <v>3200543</v>
      </c>
    </row>
    <row r="18" spans="1:26" x14ac:dyDescent="0.25">
      <c r="A18" s="47">
        <v>12</v>
      </c>
      <c r="B18" s="180" t="s">
        <v>173</v>
      </c>
      <c r="C18" s="187">
        <f>+C16</f>
        <v>43831</v>
      </c>
      <c r="D18" s="180"/>
      <c r="E18" s="180"/>
      <c r="F18" s="180"/>
      <c r="G18" s="180"/>
      <c r="H18" s="180" t="str">
        <f>IF(G18="","",(VLOOKUP(Z18,'Reference List'!$B$3:$D$173,2,FALSE)))</f>
        <v/>
      </c>
      <c r="I18" s="181" t="str">
        <f>IF(G18="","",(VLOOKUP(Z18,'Reference List'!$B$3:$F$202,5,FALSE)))</f>
        <v/>
      </c>
      <c r="J18" s="197" t="str">
        <f>IF(LEFT(G18,8)="BUNNINGS","Loscam pallets only",IF(G18="MM ELECTRICAL BIBRA LAKE WA","Plain pallets only",""))</f>
        <v/>
      </c>
      <c r="K18" s="206" t="s">
        <v>519</v>
      </c>
      <c r="L18" s="208"/>
      <c r="M18" s="162"/>
      <c r="Z18" s="203">
        <v>3200540</v>
      </c>
    </row>
    <row r="19" spans="1:26" x14ac:dyDescent="0.25">
      <c r="A19" s="59">
        <v>13</v>
      </c>
      <c r="B19" s="180" t="s">
        <v>174</v>
      </c>
      <c r="C19" s="187">
        <f t="shared" si="0"/>
        <v>43831</v>
      </c>
      <c r="D19" s="180"/>
      <c r="E19" s="180"/>
      <c r="F19" s="180"/>
      <c r="G19" s="180"/>
      <c r="H19" s="180" t="str">
        <f>IF(G19="","",(VLOOKUP(Z19,'Reference List'!$B$3:$D$173,2,FALSE)))</f>
        <v/>
      </c>
      <c r="I19" s="181" t="str">
        <f>IF(G19="","",(VLOOKUP(Z19,'Reference List'!$B$3:$F$202,5,FALSE)))</f>
        <v/>
      </c>
      <c r="J19" s="197" t="str">
        <f t="shared" ref="J19:J82" si="1">IF(LEFT(G19,8)="BUNNINGS","Loscam pallets only",IF(G19="MM ELECTRICAL BIBRA LAKE WA","Plain pallets only",""))</f>
        <v/>
      </c>
      <c r="K19" s="207" t="s">
        <v>520</v>
      </c>
      <c r="L19" s="209"/>
      <c r="M19" s="162"/>
      <c r="Z19" s="203">
        <v>3200540</v>
      </c>
    </row>
    <row r="20" spans="1:26" x14ac:dyDescent="0.25">
      <c r="A20" s="47">
        <v>14</v>
      </c>
      <c r="B20" s="180" t="s">
        <v>175</v>
      </c>
      <c r="C20" s="187">
        <f t="shared" si="0"/>
        <v>43831</v>
      </c>
      <c r="D20" s="180"/>
      <c r="E20" s="180"/>
      <c r="F20" s="180"/>
      <c r="G20" s="180"/>
      <c r="H20" s="180" t="str">
        <f>IF(G20="","",(VLOOKUP(Z20,'Reference List'!$B$3:$D$173,2,FALSE)))</f>
        <v/>
      </c>
      <c r="I20" s="181" t="str">
        <f>IF(G20="","",(VLOOKUP(Z20,'Reference List'!$B$3:$F$202,5,FALSE)))</f>
        <v/>
      </c>
      <c r="J20" s="197" t="str">
        <f t="shared" si="1"/>
        <v/>
      </c>
      <c r="K20" s="207" t="s">
        <v>521</v>
      </c>
      <c r="L20" s="209"/>
      <c r="M20" s="212"/>
      <c r="Z20" s="203">
        <v>3200540</v>
      </c>
    </row>
    <row r="21" spans="1:26" x14ac:dyDescent="0.25">
      <c r="A21" s="47">
        <v>15</v>
      </c>
      <c r="B21" s="180" t="s">
        <v>176</v>
      </c>
      <c r="C21" s="187">
        <f t="shared" si="0"/>
        <v>43831</v>
      </c>
      <c r="D21" s="180"/>
      <c r="E21" s="180"/>
      <c r="F21" s="180"/>
      <c r="G21" s="180"/>
      <c r="H21" s="180" t="str">
        <f>IF(G21="","",(VLOOKUP(Z21,'Reference List'!$B$3:$D$173,2,FALSE)))</f>
        <v/>
      </c>
      <c r="I21" s="181" t="str">
        <f>IF(G21="","",(VLOOKUP(Z21,'Reference List'!$B$3:$F$202,5,FALSE)))</f>
        <v/>
      </c>
      <c r="J21" s="197" t="str">
        <f t="shared" si="1"/>
        <v/>
      </c>
      <c r="K21" s="207" t="s">
        <v>554</v>
      </c>
      <c r="L21" s="209"/>
      <c r="M21" s="212"/>
      <c r="Z21" s="203">
        <v>3200540</v>
      </c>
    </row>
    <row r="22" spans="1:26" ht="15.75" thickBot="1" x14ac:dyDescent="0.3">
      <c r="A22" s="59">
        <v>16</v>
      </c>
      <c r="B22" s="180" t="s">
        <v>177</v>
      </c>
      <c r="C22" s="187">
        <f t="shared" si="0"/>
        <v>43831</v>
      </c>
      <c r="D22" s="180"/>
      <c r="E22" s="180"/>
      <c r="F22" s="180"/>
      <c r="G22" s="180"/>
      <c r="H22" s="180" t="str">
        <f>IF(G22="","",(VLOOKUP(Z22,'Reference List'!$B$3:$D$173,2,FALSE)))</f>
        <v/>
      </c>
      <c r="I22" s="181" t="str">
        <f>IF(G22="","",(VLOOKUP(Z22,'Reference List'!$B$3:$F$202,5,FALSE)))</f>
        <v/>
      </c>
      <c r="J22" s="197" t="str">
        <f t="shared" si="1"/>
        <v/>
      </c>
      <c r="K22" s="210" t="s">
        <v>555</v>
      </c>
      <c r="L22" s="211"/>
      <c r="M22" s="212"/>
      <c r="Z22" s="203">
        <v>3200540</v>
      </c>
    </row>
    <row r="23" spans="1:26" x14ac:dyDescent="0.25">
      <c r="A23" s="47">
        <v>17</v>
      </c>
      <c r="B23" s="180" t="s">
        <v>178</v>
      </c>
      <c r="C23" s="187">
        <f t="shared" si="0"/>
        <v>43831</v>
      </c>
      <c r="D23" s="180"/>
      <c r="E23" s="180"/>
      <c r="F23" s="180"/>
      <c r="G23" s="180"/>
      <c r="H23" s="180" t="str">
        <f>IF(G23="","",(VLOOKUP(Z23,'Reference List'!$B$3:$D$173,2,FALSE)))</f>
        <v/>
      </c>
      <c r="I23" s="181" t="str">
        <f>IF(G23="","",(VLOOKUP(Z23,'Reference List'!$B$3:$F$202,5,FALSE)))</f>
        <v/>
      </c>
      <c r="J23" s="197" t="str">
        <f t="shared" si="1"/>
        <v/>
      </c>
      <c r="K23" s="205"/>
      <c r="L23" s="205"/>
      <c r="M23" s="109"/>
      <c r="Z23" s="203">
        <v>3200540</v>
      </c>
    </row>
    <row r="24" spans="1:26" x14ac:dyDescent="0.25">
      <c r="A24" s="47">
        <v>18</v>
      </c>
      <c r="B24" s="180" t="s">
        <v>179</v>
      </c>
      <c r="C24" s="187">
        <f t="shared" si="0"/>
        <v>43831</v>
      </c>
      <c r="D24" s="180"/>
      <c r="E24" s="180"/>
      <c r="F24" s="180"/>
      <c r="G24" s="180" t="str">
        <f>IF(F24="","",(VLOOKUP(F24,'Reference List'!$B$3:$D$173,2,FALSE)))</f>
        <v/>
      </c>
      <c r="H24" s="180" t="str">
        <f>IF(G24="","",(VLOOKUP(Z24,'Reference List'!$B$3:$D$173,2,FALSE)))</f>
        <v/>
      </c>
      <c r="I24" s="181" t="str">
        <f>IF(G24="","",(VLOOKUP(Z24,'Reference List'!$B$3:$F$202,5,FALSE)))</f>
        <v/>
      </c>
      <c r="J24" s="197" t="str">
        <f t="shared" si="1"/>
        <v/>
      </c>
      <c r="K24" s="180"/>
      <c r="L24" s="180"/>
      <c r="M24" s="110"/>
      <c r="Z24" s="203">
        <v>3200540</v>
      </c>
    </row>
    <row r="25" spans="1:26" x14ac:dyDescent="0.25">
      <c r="A25" s="59">
        <v>19</v>
      </c>
      <c r="B25" s="180" t="s">
        <v>180</v>
      </c>
      <c r="C25" s="187">
        <f>+C24</f>
        <v>43831</v>
      </c>
      <c r="D25" s="180"/>
      <c r="E25" s="180"/>
      <c r="F25" s="180"/>
      <c r="G25" s="180"/>
      <c r="H25" s="180" t="str">
        <f>IF(G25="","",(VLOOKUP(Z25,'Reference List'!$B$3:$D$173,2,FALSE)))</f>
        <v/>
      </c>
      <c r="I25" s="181" t="str">
        <f>IF(G25="","",(VLOOKUP(Z25,'Reference List'!$B$3:$F$202,5,FALSE)))</f>
        <v/>
      </c>
      <c r="J25" s="197" t="str">
        <f t="shared" si="1"/>
        <v/>
      </c>
      <c r="K25" s="180"/>
      <c r="L25" s="182"/>
      <c r="M25" s="83"/>
      <c r="Z25" s="203">
        <v>3200540</v>
      </c>
    </row>
    <row r="26" spans="1:26" x14ac:dyDescent="0.25">
      <c r="A26" s="59">
        <v>20</v>
      </c>
      <c r="B26" s="180" t="s">
        <v>181</v>
      </c>
      <c r="C26" s="187">
        <f t="shared" si="0"/>
        <v>43831</v>
      </c>
      <c r="D26" s="180"/>
      <c r="E26" s="180"/>
      <c r="F26" s="180"/>
      <c r="G26" s="180"/>
      <c r="H26" s="180" t="str">
        <f>IF(G26="","",(VLOOKUP(Z26,'Reference List'!$B$3:$D$173,2,FALSE)))</f>
        <v/>
      </c>
      <c r="I26" s="181" t="str">
        <f>IF(G26="","",(VLOOKUP(Z26,'Reference List'!$B$3:$F$202,5,FALSE)))</f>
        <v/>
      </c>
      <c r="J26" s="197" t="str">
        <f t="shared" si="1"/>
        <v/>
      </c>
      <c r="K26" s="180"/>
      <c r="L26" s="180"/>
      <c r="M26" s="82"/>
      <c r="Z26" s="203">
        <v>3200540</v>
      </c>
    </row>
    <row r="27" spans="1:26" x14ac:dyDescent="0.25">
      <c r="A27" s="47">
        <v>21</v>
      </c>
      <c r="B27" s="180" t="s">
        <v>182</v>
      </c>
      <c r="C27" s="187">
        <f t="shared" si="0"/>
        <v>43831</v>
      </c>
      <c r="D27" s="180"/>
      <c r="E27" s="180"/>
      <c r="F27" s="180"/>
      <c r="G27" s="180"/>
      <c r="H27" s="180" t="str">
        <f>IF(G27="","",(VLOOKUP(Z27,'Reference List'!$B$3:$D$173,2,FALSE)))</f>
        <v/>
      </c>
      <c r="I27" s="181" t="str">
        <f>IF(G27="","",(VLOOKUP(Z27,'Reference List'!$B$3:$F$202,5,FALSE)))</f>
        <v/>
      </c>
      <c r="J27" s="197" t="str">
        <f t="shared" si="1"/>
        <v/>
      </c>
      <c r="K27" s="180"/>
      <c r="L27" s="182"/>
      <c r="M27" s="82"/>
      <c r="Z27" s="203">
        <v>3200540</v>
      </c>
    </row>
    <row r="28" spans="1:26" x14ac:dyDescent="0.25">
      <c r="A28" s="59">
        <v>22</v>
      </c>
      <c r="B28" s="180" t="s">
        <v>183</v>
      </c>
      <c r="C28" s="187">
        <f t="shared" si="0"/>
        <v>43831</v>
      </c>
      <c r="D28" s="180"/>
      <c r="E28" s="180"/>
      <c r="F28" s="180"/>
      <c r="G28" s="180"/>
      <c r="H28" s="180" t="str">
        <f>IF(G28="","",(VLOOKUP(Z28,'Reference List'!$B$3:$D$173,2,FALSE)))</f>
        <v/>
      </c>
      <c r="I28" s="181" t="str">
        <f>IF(G28="","",(VLOOKUP(Z28,'Reference List'!$B$3:$F$202,5,FALSE)))</f>
        <v/>
      </c>
      <c r="J28" s="197" t="str">
        <f t="shared" si="1"/>
        <v/>
      </c>
      <c r="K28" s="180"/>
      <c r="L28" s="180"/>
      <c r="M28" s="82"/>
      <c r="Z28" s="203">
        <v>3200540</v>
      </c>
    </row>
    <row r="29" spans="1:26" x14ac:dyDescent="0.25">
      <c r="A29" s="47">
        <v>23</v>
      </c>
      <c r="B29" s="180" t="s">
        <v>184</v>
      </c>
      <c r="C29" s="187">
        <f t="shared" si="0"/>
        <v>43831</v>
      </c>
      <c r="D29" s="180"/>
      <c r="E29" s="180"/>
      <c r="F29" s="180"/>
      <c r="G29" s="180"/>
      <c r="H29" s="180" t="str">
        <f>IF(G29="","",(VLOOKUP(Z29,'Reference List'!$B$3:$D$173,2,FALSE)))</f>
        <v/>
      </c>
      <c r="I29" s="181" t="str">
        <f>IF(G29="","",(VLOOKUP(Z29,'Reference List'!$B$3:$F$202,5,FALSE)))</f>
        <v/>
      </c>
      <c r="J29" s="197" t="str">
        <f t="shared" si="1"/>
        <v/>
      </c>
      <c r="K29" s="180"/>
      <c r="L29" s="180"/>
      <c r="M29" s="82"/>
      <c r="Z29" s="203">
        <v>3200540</v>
      </c>
    </row>
    <row r="30" spans="1:26" x14ac:dyDescent="0.25">
      <c r="A30" s="59">
        <v>24</v>
      </c>
      <c r="B30" s="180" t="s">
        <v>185</v>
      </c>
      <c r="C30" s="187">
        <f t="shared" si="0"/>
        <v>43831</v>
      </c>
      <c r="D30" s="180"/>
      <c r="E30" s="180"/>
      <c r="F30" s="180"/>
      <c r="G30" s="180"/>
      <c r="H30" s="180" t="str">
        <f>IF(G30="","",(VLOOKUP(Z30,'Reference List'!$B$3:$D$173,2,FALSE)))</f>
        <v/>
      </c>
      <c r="I30" s="181" t="str">
        <f>IF(G30="","",(VLOOKUP(Z30,'Reference List'!$B$3:$F$202,5,FALSE)))</f>
        <v/>
      </c>
      <c r="J30" s="197" t="str">
        <f t="shared" si="1"/>
        <v/>
      </c>
      <c r="K30" s="180"/>
      <c r="L30" s="180"/>
      <c r="M30" s="82"/>
      <c r="Z30" s="203">
        <v>3200540</v>
      </c>
    </row>
    <row r="31" spans="1:26" x14ac:dyDescent="0.25">
      <c r="A31" s="47">
        <v>25</v>
      </c>
      <c r="B31" s="180" t="s">
        <v>186</v>
      </c>
      <c r="C31" s="187">
        <f t="shared" si="0"/>
        <v>43831</v>
      </c>
      <c r="D31" s="180"/>
      <c r="E31" s="180"/>
      <c r="F31" s="180"/>
      <c r="G31" s="180"/>
      <c r="H31" s="180" t="str">
        <f>IF(G31="","",(VLOOKUP(Z31,'Reference List'!$B$3:$D$173,2,FALSE)))</f>
        <v/>
      </c>
      <c r="I31" s="181" t="str">
        <f>IF(G31="","",(VLOOKUP(Z31,'Reference List'!$B$3:$F$202,5,FALSE)))</f>
        <v/>
      </c>
      <c r="J31" s="197" t="str">
        <f t="shared" si="1"/>
        <v/>
      </c>
      <c r="K31" s="180"/>
      <c r="L31" s="180"/>
      <c r="M31" s="82"/>
      <c r="Z31" s="203">
        <v>3200540</v>
      </c>
    </row>
    <row r="32" spans="1:26" x14ac:dyDescent="0.25">
      <c r="A32" s="59">
        <v>26</v>
      </c>
      <c r="B32" s="180" t="s">
        <v>187</v>
      </c>
      <c r="C32" s="187">
        <f t="shared" si="0"/>
        <v>43831</v>
      </c>
      <c r="D32" s="180"/>
      <c r="E32" s="180"/>
      <c r="F32" s="180"/>
      <c r="G32" s="180"/>
      <c r="H32" s="180" t="str">
        <f>IF(G32="","",(VLOOKUP(Z32,'Reference List'!$B$3:$D$173,2,FALSE)))</f>
        <v/>
      </c>
      <c r="I32" s="181" t="str">
        <f>IF(G32="","",(VLOOKUP(Z32,'Reference List'!$B$3:$F$202,5,FALSE)))</f>
        <v/>
      </c>
      <c r="J32" s="197" t="str">
        <f t="shared" si="1"/>
        <v/>
      </c>
      <c r="K32" s="180"/>
      <c r="L32" s="180"/>
      <c r="M32" s="82"/>
      <c r="Z32" s="203">
        <v>3200540</v>
      </c>
    </row>
    <row r="33" spans="1:26" x14ac:dyDescent="0.25">
      <c r="A33" s="47">
        <v>27</v>
      </c>
      <c r="B33" s="180" t="s">
        <v>188</v>
      </c>
      <c r="C33" s="187">
        <f t="shared" si="0"/>
        <v>43831</v>
      </c>
      <c r="D33" s="180"/>
      <c r="E33" s="180"/>
      <c r="F33" s="180"/>
      <c r="G33" s="180"/>
      <c r="H33" s="180" t="str">
        <f>IF(G33="","",(VLOOKUP(Z33,'Reference List'!$B$3:$D$173,2,FALSE)))</f>
        <v/>
      </c>
      <c r="I33" s="181" t="str">
        <f>IF(G33="","",(VLOOKUP(Z33,'Reference List'!$B$3:$F$202,5,FALSE)))</f>
        <v/>
      </c>
      <c r="J33" s="197" t="str">
        <f t="shared" si="1"/>
        <v/>
      </c>
      <c r="K33" s="180"/>
      <c r="L33" s="180"/>
      <c r="M33" s="82"/>
      <c r="Z33" s="203">
        <v>3200540</v>
      </c>
    </row>
    <row r="34" spans="1:26" x14ac:dyDescent="0.25">
      <c r="A34" s="59">
        <v>28</v>
      </c>
      <c r="B34" s="180" t="s">
        <v>189</v>
      </c>
      <c r="C34" s="187">
        <f t="shared" si="0"/>
        <v>43831</v>
      </c>
      <c r="D34" s="180"/>
      <c r="E34" s="180"/>
      <c r="F34" s="180"/>
      <c r="G34" s="182"/>
      <c r="H34" s="180" t="str">
        <f>IF(G34="","",(VLOOKUP(Z34,'Reference List'!$B$3:$D$173,2,FALSE)))</f>
        <v/>
      </c>
      <c r="I34" s="181" t="str">
        <f>IF(G34="","",(VLOOKUP(Z34,'Reference List'!$B$3:$F$202,5,FALSE)))</f>
        <v/>
      </c>
      <c r="J34" s="197" t="str">
        <f t="shared" si="1"/>
        <v/>
      </c>
      <c r="K34" s="180"/>
      <c r="L34" s="180"/>
      <c r="M34" s="82"/>
      <c r="Z34" s="203">
        <v>3200540</v>
      </c>
    </row>
    <row r="35" spans="1:26" x14ac:dyDescent="0.25">
      <c r="A35" s="47">
        <v>29</v>
      </c>
      <c r="B35" s="180" t="s">
        <v>190</v>
      </c>
      <c r="C35" s="187">
        <f t="shared" si="0"/>
        <v>43831</v>
      </c>
      <c r="D35" s="180"/>
      <c r="E35" s="180"/>
      <c r="F35" s="180"/>
      <c r="G35" s="182"/>
      <c r="H35" s="180" t="str">
        <f>IF(G35="","",(VLOOKUP(Z35,'Reference List'!$B$3:$D$173,2,FALSE)))</f>
        <v/>
      </c>
      <c r="I35" s="181" t="str">
        <f>IF(G35="","",(VLOOKUP(Z35,'Reference List'!$B$3:$F$202,5,FALSE)))</f>
        <v/>
      </c>
      <c r="J35" s="197" t="str">
        <f t="shared" si="1"/>
        <v/>
      </c>
      <c r="K35" s="180"/>
      <c r="L35" s="180"/>
      <c r="M35" s="82"/>
      <c r="Z35" s="203">
        <v>3200540</v>
      </c>
    </row>
    <row r="36" spans="1:26" x14ac:dyDescent="0.25">
      <c r="A36" s="47">
        <v>31</v>
      </c>
      <c r="B36" s="180" t="s">
        <v>191</v>
      </c>
      <c r="C36" s="187">
        <f t="shared" si="0"/>
        <v>43831</v>
      </c>
      <c r="D36" s="180"/>
      <c r="E36" s="180"/>
      <c r="F36" s="180"/>
      <c r="G36" s="180"/>
      <c r="H36" s="180" t="str">
        <f>IF(G36="","",(VLOOKUP(Z36,'Reference List'!$B$3:$D$173,2,FALSE)))</f>
        <v/>
      </c>
      <c r="I36" s="181" t="str">
        <f>IF(G36="","",(VLOOKUP(Z36,'Reference List'!$B$3:$F$202,5,FALSE)))</f>
        <v/>
      </c>
      <c r="J36" s="197" t="str">
        <f t="shared" si="1"/>
        <v/>
      </c>
      <c r="K36" s="180"/>
      <c r="L36" s="180"/>
      <c r="M36" s="82"/>
      <c r="Z36" s="203">
        <v>3200540</v>
      </c>
    </row>
    <row r="37" spans="1:26" x14ac:dyDescent="0.25">
      <c r="A37" s="59">
        <v>32</v>
      </c>
      <c r="B37" s="180" t="s">
        <v>192</v>
      </c>
      <c r="C37" s="187">
        <f t="shared" si="0"/>
        <v>43831</v>
      </c>
      <c r="D37" s="180"/>
      <c r="E37" s="180"/>
      <c r="F37" s="180"/>
      <c r="G37" s="180"/>
      <c r="H37" s="180" t="str">
        <f>IF(G37="","",(VLOOKUP(Z37,'Reference List'!$B$3:$D$173,2,FALSE)))</f>
        <v/>
      </c>
      <c r="I37" s="181" t="str">
        <f>IF(G37="","",(VLOOKUP(Z37,'Reference List'!$B$3:$F$202,5,FALSE)))</f>
        <v/>
      </c>
      <c r="J37" s="197" t="str">
        <f t="shared" si="1"/>
        <v/>
      </c>
      <c r="K37" s="180"/>
      <c r="L37" s="180"/>
      <c r="M37" s="82"/>
      <c r="Z37" s="203">
        <v>3200540</v>
      </c>
    </row>
    <row r="38" spans="1:26" x14ac:dyDescent="0.25">
      <c r="A38" s="47">
        <v>33</v>
      </c>
      <c r="B38" s="180" t="s">
        <v>193</v>
      </c>
      <c r="C38" s="187">
        <f t="shared" si="0"/>
        <v>43831</v>
      </c>
      <c r="D38" s="180"/>
      <c r="E38" s="180"/>
      <c r="F38" s="180"/>
      <c r="G38" s="180"/>
      <c r="H38" s="180" t="str">
        <f>IF(G38="","",(VLOOKUP(Z38,'Reference List'!$B$3:$D$173,2,FALSE)))</f>
        <v/>
      </c>
      <c r="I38" s="181" t="str">
        <f>IF(G38="","",(VLOOKUP(Z38,'Reference List'!$B$3:$F$202,5,FALSE)))</f>
        <v/>
      </c>
      <c r="J38" s="197" t="str">
        <f t="shared" si="1"/>
        <v/>
      </c>
      <c r="K38" s="180"/>
      <c r="L38" s="180"/>
      <c r="M38" s="82"/>
      <c r="Z38" s="203">
        <v>3200540</v>
      </c>
    </row>
    <row r="39" spans="1:26" x14ac:dyDescent="0.25">
      <c r="A39" s="59">
        <v>34</v>
      </c>
      <c r="B39" s="180" t="s">
        <v>194</v>
      </c>
      <c r="C39" s="187">
        <f t="shared" si="0"/>
        <v>43831</v>
      </c>
      <c r="D39" s="180"/>
      <c r="E39" s="180"/>
      <c r="F39" s="180"/>
      <c r="G39" s="180"/>
      <c r="H39" s="180" t="str">
        <f>IF(G39="","",(VLOOKUP(Z39,'Reference List'!$B$3:$D$173,2,FALSE)))</f>
        <v/>
      </c>
      <c r="I39" s="181" t="str">
        <f>IF(G39="","",(VLOOKUP(Z39,'Reference List'!$B$3:$F$202,5,FALSE)))</f>
        <v/>
      </c>
      <c r="J39" s="197" t="str">
        <f t="shared" si="1"/>
        <v/>
      </c>
      <c r="K39" s="180"/>
      <c r="L39" s="180"/>
      <c r="M39" s="82"/>
      <c r="Z39" s="203">
        <v>3200540</v>
      </c>
    </row>
    <row r="40" spans="1:26" x14ac:dyDescent="0.25">
      <c r="A40" s="47">
        <v>35</v>
      </c>
      <c r="B40" s="180" t="s">
        <v>195</v>
      </c>
      <c r="C40" s="187">
        <f t="shared" si="0"/>
        <v>43831</v>
      </c>
      <c r="D40" s="180"/>
      <c r="E40" s="180"/>
      <c r="F40" s="180"/>
      <c r="G40" s="180" t="str">
        <f>IF(F40="","",(VLOOKUP(F40,'Reference List'!$B$3:$D$173,2,FALSE)))</f>
        <v/>
      </c>
      <c r="H40" s="180" t="str">
        <f>IF(G40="","",(VLOOKUP(Z40,'Reference List'!$B$3:$D$173,2,FALSE)))</f>
        <v/>
      </c>
      <c r="I40" s="181" t="str">
        <f>IF(G40="","",(VLOOKUP(Z40,'Reference List'!$B$3:$F$202,5,FALSE)))</f>
        <v/>
      </c>
      <c r="J40" s="197" t="str">
        <f t="shared" si="1"/>
        <v/>
      </c>
      <c r="K40" s="180"/>
      <c r="L40" s="180"/>
      <c r="M40" s="82"/>
      <c r="Z40" s="203">
        <v>3200540</v>
      </c>
    </row>
    <row r="41" spans="1:26" x14ac:dyDescent="0.25">
      <c r="A41" s="59">
        <v>36</v>
      </c>
      <c r="B41" s="180" t="s">
        <v>196</v>
      </c>
      <c r="C41" s="187">
        <f t="shared" si="0"/>
        <v>43831</v>
      </c>
      <c r="D41" s="180"/>
      <c r="E41" s="180"/>
      <c r="F41" s="180"/>
      <c r="G41" s="180" t="str">
        <f>IF(F41="","",(VLOOKUP(F41,'Reference List'!$B$3:$D$173,2,FALSE)))</f>
        <v/>
      </c>
      <c r="H41" s="180" t="str">
        <f>IF(G41="","",(VLOOKUP(Z41,'Reference List'!$B$3:$D$173,2,FALSE)))</f>
        <v/>
      </c>
      <c r="I41" s="181" t="str">
        <f>IF(G41="","",(VLOOKUP(Z41,'Reference List'!$B$3:$F$202,5,FALSE)))</f>
        <v/>
      </c>
      <c r="J41" s="197" t="str">
        <f t="shared" si="1"/>
        <v/>
      </c>
      <c r="K41" s="180"/>
      <c r="L41" s="180"/>
      <c r="M41" s="82"/>
      <c r="Z41" s="203">
        <v>3200540</v>
      </c>
    </row>
    <row r="42" spans="1:26" x14ac:dyDescent="0.25">
      <c r="A42" s="47">
        <v>37</v>
      </c>
      <c r="B42" s="180" t="s">
        <v>197</v>
      </c>
      <c r="C42" s="187">
        <f t="shared" si="0"/>
        <v>43831</v>
      </c>
      <c r="D42" s="180"/>
      <c r="E42" s="180"/>
      <c r="F42" s="180"/>
      <c r="G42" s="180" t="str">
        <f>IF(F42="","",(VLOOKUP(F42,'Reference List'!$B$3:$D$173,2,FALSE)))</f>
        <v/>
      </c>
      <c r="H42" s="180" t="str">
        <f>IF(G42="","",(VLOOKUP(Z42,'Reference List'!$B$3:$D$173,2,FALSE)))</f>
        <v/>
      </c>
      <c r="I42" s="181" t="str">
        <f>IF(G42="","",(VLOOKUP(Z42,'Reference List'!$B$3:$F$202,5,FALSE)))</f>
        <v/>
      </c>
      <c r="J42" s="197" t="str">
        <f t="shared" si="1"/>
        <v/>
      </c>
      <c r="K42" s="180"/>
      <c r="L42" s="180"/>
      <c r="M42" s="82"/>
      <c r="Z42" s="203">
        <v>3200540</v>
      </c>
    </row>
    <row r="43" spans="1:26" x14ac:dyDescent="0.25">
      <c r="A43" s="59">
        <v>38</v>
      </c>
      <c r="B43" s="180" t="s">
        <v>198</v>
      </c>
      <c r="C43" s="187">
        <f t="shared" si="0"/>
        <v>43831</v>
      </c>
      <c r="D43" s="180"/>
      <c r="E43" s="180"/>
      <c r="F43" s="180"/>
      <c r="G43" s="180" t="str">
        <f>IF(F43="","",(VLOOKUP(F43,'Reference List'!$B$3:$D$173,2,FALSE)))</f>
        <v/>
      </c>
      <c r="H43" s="180" t="str">
        <f>IF(G43="","",(VLOOKUP(Z43,'Reference List'!$B$3:$D$173,2,FALSE)))</f>
        <v/>
      </c>
      <c r="I43" s="181" t="str">
        <f>IF(G43="","",(VLOOKUP(Z43,'Reference List'!$B$3:$F$202,5,FALSE)))</f>
        <v/>
      </c>
      <c r="J43" s="197" t="str">
        <f t="shared" si="1"/>
        <v/>
      </c>
      <c r="K43" s="180"/>
      <c r="L43" s="180"/>
      <c r="M43" s="82"/>
      <c r="Z43" s="203">
        <v>3200540</v>
      </c>
    </row>
    <row r="44" spans="1:26" x14ac:dyDescent="0.25">
      <c r="A44" s="47">
        <v>39</v>
      </c>
      <c r="B44" s="180" t="s">
        <v>199</v>
      </c>
      <c r="C44" s="187">
        <f t="shared" si="0"/>
        <v>43831</v>
      </c>
      <c r="D44" s="180"/>
      <c r="E44" s="180"/>
      <c r="F44" s="180"/>
      <c r="G44" s="180" t="str">
        <f>IF(F44="","",(VLOOKUP(F44,'Reference List'!$B$3:$D$168,2,FALSE)))</f>
        <v/>
      </c>
      <c r="H44" s="180" t="str">
        <f>IF(G44="","",(VLOOKUP(Z44,'Reference List'!$B$3:$D$173,2,FALSE)))</f>
        <v/>
      </c>
      <c r="I44" s="181" t="str">
        <f>IF(G44="","",(VLOOKUP(Z44,'Reference List'!$B$3:$F$202,5,FALSE)))</f>
        <v/>
      </c>
      <c r="J44" s="197" t="str">
        <f t="shared" si="1"/>
        <v/>
      </c>
      <c r="K44" s="180"/>
      <c r="L44" s="180"/>
      <c r="M44" s="82"/>
      <c r="Z44" s="203">
        <v>3200540</v>
      </c>
    </row>
    <row r="45" spans="1:26" x14ac:dyDescent="0.25">
      <c r="A45" s="59">
        <v>40</v>
      </c>
      <c r="B45" s="180" t="s">
        <v>200</v>
      </c>
      <c r="C45" s="187">
        <f t="shared" si="0"/>
        <v>43831</v>
      </c>
      <c r="D45" s="180"/>
      <c r="E45" s="180"/>
      <c r="F45" s="180"/>
      <c r="G45" s="180"/>
      <c r="H45" s="180" t="str">
        <f>IF(G45="","",(VLOOKUP(Z45,'Reference List'!$B$3:$D$173,2,FALSE)))</f>
        <v/>
      </c>
      <c r="I45" s="181" t="str">
        <f>IF(G45="","",(VLOOKUP(Z45,'Reference List'!$B$3:$F$202,5,FALSE)))</f>
        <v/>
      </c>
      <c r="J45" s="197" t="str">
        <f t="shared" si="1"/>
        <v/>
      </c>
      <c r="K45" s="180"/>
      <c r="L45" s="180"/>
      <c r="M45" s="82"/>
      <c r="Z45" s="203">
        <v>3200540</v>
      </c>
    </row>
    <row r="46" spans="1:26" x14ac:dyDescent="0.25">
      <c r="A46" s="47">
        <v>41</v>
      </c>
      <c r="B46" s="180" t="s">
        <v>201</v>
      </c>
      <c r="C46" s="187">
        <f t="shared" si="0"/>
        <v>43831</v>
      </c>
      <c r="D46" s="180"/>
      <c r="E46" s="180"/>
      <c r="F46" s="180"/>
      <c r="G46" s="180"/>
      <c r="H46" s="180" t="str">
        <f>IF(G46="","",(VLOOKUP(Z46,'Reference List'!$B$3:$D$173,2,FALSE)))</f>
        <v/>
      </c>
      <c r="I46" s="181" t="str">
        <f>IF(G46="","",(VLOOKUP(Z46,'Reference List'!$B$3:$F$202,5,FALSE)))</f>
        <v/>
      </c>
      <c r="J46" s="197" t="str">
        <f t="shared" si="1"/>
        <v/>
      </c>
      <c r="K46" s="180"/>
      <c r="L46" s="180"/>
      <c r="M46" s="82"/>
      <c r="Z46" s="203">
        <v>3200540</v>
      </c>
    </row>
    <row r="47" spans="1:26" x14ac:dyDescent="0.25">
      <c r="A47" s="59">
        <v>42</v>
      </c>
      <c r="B47" s="180" t="s">
        <v>202</v>
      </c>
      <c r="C47" s="187">
        <f t="shared" si="0"/>
        <v>43831</v>
      </c>
      <c r="D47" s="180"/>
      <c r="E47" s="180"/>
      <c r="F47" s="180"/>
      <c r="G47" s="180"/>
      <c r="H47" s="180" t="str">
        <f>IF(G47="","",(VLOOKUP(Z47,'Reference List'!$B$3:$D$173,2,FALSE)))</f>
        <v/>
      </c>
      <c r="I47" s="181" t="str">
        <f>IF(G47="","",(VLOOKUP(Z47,'Reference List'!$B$3:$F$202,5,FALSE)))</f>
        <v/>
      </c>
      <c r="J47" s="197" t="str">
        <f t="shared" si="1"/>
        <v/>
      </c>
      <c r="K47" s="180"/>
      <c r="L47" s="180"/>
      <c r="M47" s="82"/>
      <c r="Z47" s="203">
        <v>3200540</v>
      </c>
    </row>
    <row r="48" spans="1:26" x14ac:dyDescent="0.25">
      <c r="A48" s="47">
        <v>43</v>
      </c>
      <c r="B48" s="180" t="s">
        <v>203</v>
      </c>
      <c r="C48" s="187">
        <f t="shared" si="0"/>
        <v>43831</v>
      </c>
      <c r="D48" s="56"/>
      <c r="E48" s="56"/>
      <c r="F48" s="56"/>
      <c r="G48" s="56"/>
      <c r="H48" s="180" t="str">
        <f>IF(G48="","",(VLOOKUP(Z48,'Reference List'!$B$3:$D$173,2,FALSE)))</f>
        <v/>
      </c>
      <c r="I48" s="181" t="str">
        <f>IF(G48="","",(VLOOKUP(Z48,'Reference List'!$B$3:$F$202,5,FALSE)))</f>
        <v/>
      </c>
      <c r="J48" s="197" t="str">
        <f t="shared" si="1"/>
        <v/>
      </c>
      <c r="K48" s="56"/>
      <c r="L48" s="56"/>
      <c r="M48" s="82"/>
      <c r="Z48" s="203">
        <v>3200540</v>
      </c>
    </row>
    <row r="49" spans="1:26" x14ac:dyDescent="0.25">
      <c r="A49" s="59">
        <v>44</v>
      </c>
      <c r="B49" s="180" t="s">
        <v>204</v>
      </c>
      <c r="C49" s="187">
        <f t="shared" si="0"/>
        <v>43831</v>
      </c>
      <c r="D49" s="56"/>
      <c r="E49" s="56"/>
      <c r="F49" s="56"/>
      <c r="G49" s="56"/>
      <c r="H49" s="180" t="str">
        <f>IF(G49="","",(VLOOKUP(Z49,'Reference List'!$B$3:$D$173,2,FALSE)))</f>
        <v/>
      </c>
      <c r="I49" s="181" t="str">
        <f>IF(G49="","",(VLOOKUP(Z49,'Reference List'!$B$3:$F$202,5,FALSE)))</f>
        <v/>
      </c>
      <c r="J49" s="197" t="str">
        <f t="shared" si="1"/>
        <v/>
      </c>
      <c r="K49" s="56"/>
      <c r="L49" s="56"/>
      <c r="M49" s="82"/>
      <c r="Z49" s="203">
        <v>3200540</v>
      </c>
    </row>
    <row r="50" spans="1:26" x14ac:dyDescent="0.25">
      <c r="A50" s="47">
        <v>45</v>
      </c>
      <c r="B50" s="180" t="s">
        <v>205</v>
      </c>
      <c r="C50" s="187">
        <f t="shared" si="0"/>
        <v>43831</v>
      </c>
      <c r="D50" s="56"/>
      <c r="E50" s="56"/>
      <c r="F50" s="56"/>
      <c r="G50" s="56"/>
      <c r="H50" s="180" t="str">
        <f>IF(G50="","",(VLOOKUP(Z50,'Reference List'!$B$3:$D$173,2,FALSE)))</f>
        <v/>
      </c>
      <c r="I50" s="181" t="str">
        <f>IF(G50="","",(VLOOKUP(Z50,'Reference List'!$B$3:$F$202,5,FALSE)))</f>
        <v/>
      </c>
      <c r="J50" s="197" t="str">
        <f t="shared" si="1"/>
        <v/>
      </c>
      <c r="K50" s="56"/>
      <c r="L50" s="56"/>
      <c r="M50" s="82"/>
      <c r="Z50" s="203">
        <v>3200540</v>
      </c>
    </row>
    <row r="51" spans="1:26" x14ac:dyDescent="0.25">
      <c r="A51" s="59">
        <v>46</v>
      </c>
      <c r="B51" s="180" t="s">
        <v>206</v>
      </c>
      <c r="C51" s="187">
        <f t="shared" si="0"/>
        <v>43831</v>
      </c>
      <c r="D51" s="56"/>
      <c r="E51" s="56"/>
      <c r="F51" s="56"/>
      <c r="G51" s="56"/>
      <c r="H51" s="180" t="str">
        <f>IF(G51="","",(VLOOKUP(Z51,'Reference List'!$B$3:$D$173,2,FALSE)))</f>
        <v/>
      </c>
      <c r="I51" s="181" t="str">
        <f>IF(G51="","",(VLOOKUP(Z51,'Reference List'!$B$3:$F$202,5,FALSE)))</f>
        <v/>
      </c>
      <c r="J51" s="197" t="str">
        <f t="shared" si="1"/>
        <v/>
      </c>
      <c r="K51" s="56"/>
      <c r="L51" s="56"/>
      <c r="M51" s="82"/>
      <c r="Z51" s="203">
        <v>3200540</v>
      </c>
    </row>
    <row r="52" spans="1:26" x14ac:dyDescent="0.25">
      <c r="A52" s="47">
        <v>47</v>
      </c>
      <c r="B52" s="180" t="s">
        <v>207</v>
      </c>
      <c r="C52" s="187">
        <f t="shared" si="0"/>
        <v>43831</v>
      </c>
      <c r="D52" s="56"/>
      <c r="E52" s="56"/>
      <c r="F52" s="56"/>
      <c r="G52" s="56"/>
      <c r="H52" s="180" t="str">
        <f>IF(G52="","",(VLOOKUP(Z52,'Reference List'!$B$3:$D$173,2,FALSE)))</f>
        <v/>
      </c>
      <c r="I52" s="181" t="str">
        <f>IF(G52="","",(VLOOKUP(Z52,'Reference List'!$B$3:$F$202,5,FALSE)))</f>
        <v/>
      </c>
      <c r="J52" s="197" t="str">
        <f t="shared" si="1"/>
        <v/>
      </c>
      <c r="K52" s="56"/>
      <c r="L52" s="56"/>
      <c r="M52" s="82"/>
      <c r="Z52" s="203">
        <v>3200540</v>
      </c>
    </row>
    <row r="53" spans="1:26" x14ac:dyDescent="0.25">
      <c r="A53" s="59">
        <v>48</v>
      </c>
      <c r="B53" s="180" t="s">
        <v>208</v>
      </c>
      <c r="C53" s="187">
        <f t="shared" si="0"/>
        <v>43831</v>
      </c>
      <c r="D53" s="56"/>
      <c r="E53" s="56"/>
      <c r="F53" s="56"/>
      <c r="G53" s="56"/>
      <c r="H53" s="180" t="str">
        <f>IF(G53="","",(VLOOKUP(Z53,'Reference List'!$B$3:$D$173,2,FALSE)))</f>
        <v/>
      </c>
      <c r="I53" s="181" t="str">
        <f>IF(G53="","",(VLOOKUP(Z53,'Reference List'!$B$3:$F$202,5,FALSE)))</f>
        <v/>
      </c>
      <c r="J53" s="197" t="str">
        <f t="shared" si="1"/>
        <v/>
      </c>
      <c r="K53" s="56"/>
      <c r="L53" s="56"/>
      <c r="M53" s="82"/>
      <c r="Z53" s="203">
        <v>3200540</v>
      </c>
    </row>
    <row r="54" spans="1:26" x14ac:dyDescent="0.25">
      <c r="A54" s="47">
        <v>49</v>
      </c>
      <c r="B54" s="180" t="s">
        <v>209</v>
      </c>
      <c r="C54" s="187">
        <f t="shared" si="0"/>
        <v>43831</v>
      </c>
      <c r="D54" s="56"/>
      <c r="E54" s="56"/>
      <c r="F54" s="56"/>
      <c r="G54" s="56"/>
      <c r="H54" s="180" t="str">
        <f>IF(G54="","",(VLOOKUP(Z54,'Reference List'!$B$3:$D$173,2,FALSE)))</f>
        <v/>
      </c>
      <c r="I54" s="181" t="str">
        <f>IF(G54="","",(VLOOKUP(Z54,'Reference List'!$B$3:$F$202,5,FALSE)))</f>
        <v/>
      </c>
      <c r="J54" s="197" t="str">
        <f t="shared" si="1"/>
        <v/>
      </c>
      <c r="K54" s="56"/>
      <c r="L54" s="56"/>
      <c r="M54" s="82"/>
      <c r="Z54" s="203">
        <v>3200540</v>
      </c>
    </row>
    <row r="55" spans="1:26" x14ac:dyDescent="0.25">
      <c r="A55" s="59">
        <v>50</v>
      </c>
      <c r="B55" s="180" t="s">
        <v>210</v>
      </c>
      <c r="C55" s="187">
        <f t="shared" si="0"/>
        <v>43831</v>
      </c>
      <c r="D55" s="56"/>
      <c r="E55" s="56"/>
      <c r="F55" s="56"/>
      <c r="G55" s="56"/>
      <c r="H55" s="180" t="str">
        <f>IF(G55="","",(VLOOKUP(Z55,'Reference List'!$B$3:$D$173,2,FALSE)))</f>
        <v/>
      </c>
      <c r="I55" s="181" t="str">
        <f>IF(G55="","",(VLOOKUP(Z55,'Reference List'!$B$3:$F$202,5,FALSE)))</f>
        <v/>
      </c>
      <c r="J55" s="197" t="str">
        <f t="shared" si="1"/>
        <v/>
      </c>
      <c r="K55" s="56"/>
      <c r="L55" s="56"/>
      <c r="M55" s="82"/>
      <c r="Z55" s="203">
        <v>3200540</v>
      </c>
    </row>
    <row r="56" spans="1:26" x14ac:dyDescent="0.25">
      <c r="A56" s="47">
        <v>51</v>
      </c>
      <c r="B56" s="180" t="s">
        <v>211</v>
      </c>
      <c r="C56" s="187">
        <f t="shared" si="0"/>
        <v>43831</v>
      </c>
      <c r="D56" s="56"/>
      <c r="E56" s="56"/>
      <c r="F56" s="56"/>
      <c r="G56" s="56"/>
      <c r="H56" s="180" t="str">
        <f>IF(G56="","",(VLOOKUP(Z56,'Reference List'!$B$3:$D$173,2,FALSE)))</f>
        <v/>
      </c>
      <c r="I56" s="181" t="str">
        <f>IF(G56="","",(VLOOKUP(Z56,'Reference List'!$B$3:$F$202,5,FALSE)))</f>
        <v/>
      </c>
      <c r="J56" s="197" t="str">
        <f t="shared" si="1"/>
        <v/>
      </c>
      <c r="K56" s="56"/>
      <c r="L56" s="56"/>
      <c r="M56" s="82"/>
      <c r="Z56" s="203">
        <v>3200540</v>
      </c>
    </row>
    <row r="57" spans="1:26" x14ac:dyDescent="0.25">
      <c r="A57" s="59">
        <v>52</v>
      </c>
      <c r="B57" s="180" t="s">
        <v>212</v>
      </c>
      <c r="C57" s="187">
        <f t="shared" si="0"/>
        <v>43831</v>
      </c>
      <c r="D57" s="56"/>
      <c r="E57" s="56"/>
      <c r="F57" s="56"/>
      <c r="G57" s="56"/>
      <c r="H57" s="180" t="str">
        <f>IF(G57="","",(VLOOKUP(Z57,'Reference List'!$B$3:$D$173,2,FALSE)))</f>
        <v/>
      </c>
      <c r="I57" s="181" t="str">
        <f>IF(G57="","",(VLOOKUP(Z57,'Reference List'!$B$3:$F$202,5,FALSE)))</f>
        <v/>
      </c>
      <c r="J57" s="197" t="str">
        <f t="shared" si="1"/>
        <v/>
      </c>
      <c r="K57" s="56"/>
      <c r="L57" s="56"/>
      <c r="M57" s="82"/>
      <c r="Z57" s="203">
        <v>3200540</v>
      </c>
    </row>
    <row r="58" spans="1:26" x14ac:dyDescent="0.25">
      <c r="A58" s="47">
        <v>53</v>
      </c>
      <c r="B58" s="180" t="s">
        <v>213</v>
      </c>
      <c r="C58" s="187">
        <f t="shared" si="0"/>
        <v>43831</v>
      </c>
      <c r="D58" s="56"/>
      <c r="E58" s="56"/>
      <c r="F58" s="56"/>
      <c r="G58" s="56"/>
      <c r="H58" s="180" t="str">
        <f>IF(G58="","",(VLOOKUP(Z58,'Reference List'!$B$3:$D$173,2,FALSE)))</f>
        <v/>
      </c>
      <c r="I58" s="181" t="str">
        <f>IF(G58="","",(VLOOKUP(Z58,'Reference List'!$B$3:$F$202,5,FALSE)))</f>
        <v/>
      </c>
      <c r="J58" s="197" t="str">
        <f t="shared" si="1"/>
        <v/>
      </c>
      <c r="K58" s="56"/>
      <c r="L58" s="56"/>
      <c r="M58" s="82"/>
      <c r="Z58" s="203">
        <v>3200540</v>
      </c>
    </row>
    <row r="59" spans="1:26" x14ac:dyDescent="0.25">
      <c r="A59" s="59">
        <v>54</v>
      </c>
      <c r="B59" s="180" t="s">
        <v>214</v>
      </c>
      <c r="C59" s="187">
        <f t="shared" si="0"/>
        <v>43831</v>
      </c>
      <c r="D59" s="56"/>
      <c r="E59" s="56"/>
      <c r="F59" s="56"/>
      <c r="G59" s="56"/>
      <c r="H59" s="180" t="str">
        <f>IF(G59="","",(VLOOKUP(Z59,'Reference List'!$B$3:$D$173,2,FALSE)))</f>
        <v/>
      </c>
      <c r="I59" s="181" t="str">
        <f>IF(G59="","",(VLOOKUP(Z59,'Reference List'!$B$3:$F$202,5,FALSE)))</f>
        <v/>
      </c>
      <c r="J59" s="197" t="str">
        <f t="shared" si="1"/>
        <v/>
      </c>
      <c r="K59" s="56"/>
      <c r="L59" s="56"/>
      <c r="M59" s="82"/>
      <c r="Z59" s="203">
        <v>3200540</v>
      </c>
    </row>
    <row r="60" spans="1:26" x14ac:dyDescent="0.25">
      <c r="A60" s="47">
        <v>55</v>
      </c>
      <c r="B60" s="180" t="s">
        <v>215</v>
      </c>
      <c r="C60" s="187">
        <f t="shared" si="0"/>
        <v>43831</v>
      </c>
      <c r="D60" s="56"/>
      <c r="E60" s="56"/>
      <c r="F60" s="56"/>
      <c r="G60" s="56"/>
      <c r="H60" s="180" t="str">
        <f>IF(G60="","",(VLOOKUP(Z60,'Reference List'!$B$3:$D$173,2,FALSE)))</f>
        <v/>
      </c>
      <c r="I60" s="181" t="str">
        <f>IF(G60="","",(VLOOKUP(Z60,'Reference List'!$B$3:$F$202,5,FALSE)))</f>
        <v/>
      </c>
      <c r="J60" s="197" t="str">
        <f t="shared" si="1"/>
        <v/>
      </c>
      <c r="K60" s="56"/>
      <c r="L60" s="56"/>
      <c r="M60" s="82"/>
      <c r="Z60" s="203">
        <v>3200540</v>
      </c>
    </row>
    <row r="61" spans="1:26" x14ac:dyDescent="0.25">
      <c r="A61" s="59">
        <v>56</v>
      </c>
      <c r="B61" s="180" t="s">
        <v>216</v>
      </c>
      <c r="C61" s="187">
        <f t="shared" si="0"/>
        <v>43831</v>
      </c>
      <c r="D61" s="56"/>
      <c r="E61" s="56"/>
      <c r="F61" s="56"/>
      <c r="G61" s="56"/>
      <c r="H61" s="180" t="str">
        <f>IF(G61="","",(VLOOKUP(Z61,'Reference List'!$B$3:$D$173,2,FALSE)))</f>
        <v/>
      </c>
      <c r="I61" s="181" t="str">
        <f>IF(G61="","",(VLOOKUP(Z61,'Reference List'!$B$3:$F$202,5,FALSE)))</f>
        <v/>
      </c>
      <c r="J61" s="197" t="str">
        <f t="shared" si="1"/>
        <v/>
      </c>
      <c r="K61" s="56"/>
      <c r="L61" s="56"/>
      <c r="M61" s="82"/>
      <c r="Z61" s="203">
        <v>3200540</v>
      </c>
    </row>
    <row r="62" spans="1:26" x14ac:dyDescent="0.25">
      <c r="A62" s="47">
        <v>57</v>
      </c>
      <c r="B62" s="180" t="s">
        <v>217</v>
      </c>
      <c r="C62" s="187">
        <f t="shared" si="0"/>
        <v>43831</v>
      </c>
      <c r="D62" s="56"/>
      <c r="E62" s="56"/>
      <c r="F62" s="56"/>
      <c r="G62" s="56"/>
      <c r="H62" s="180" t="str">
        <f>IF(G62="","",(VLOOKUP(Z62,'Reference List'!$B$3:$D$173,2,FALSE)))</f>
        <v/>
      </c>
      <c r="I62" s="181" t="str">
        <f>IF(G62="","",(VLOOKUP(Z62,'Reference List'!$B$3:$F$202,5,FALSE)))</f>
        <v/>
      </c>
      <c r="J62" s="197" t="str">
        <f t="shared" si="1"/>
        <v/>
      </c>
      <c r="K62" s="56"/>
      <c r="L62" s="56"/>
      <c r="M62" s="82"/>
      <c r="Z62" s="203">
        <v>3200540</v>
      </c>
    </row>
    <row r="63" spans="1:26" x14ac:dyDescent="0.25">
      <c r="A63" s="59">
        <v>58</v>
      </c>
      <c r="B63" s="180" t="s">
        <v>218</v>
      </c>
      <c r="C63" s="187">
        <f t="shared" si="0"/>
        <v>43831</v>
      </c>
      <c r="D63" s="56"/>
      <c r="E63" s="56"/>
      <c r="F63" s="56"/>
      <c r="G63" s="56"/>
      <c r="H63" s="180" t="str">
        <f>IF(G63="","",(VLOOKUP(Z63,'Reference List'!$B$3:$D$173,2,FALSE)))</f>
        <v/>
      </c>
      <c r="I63" s="181" t="str">
        <f>IF(G63="","",(VLOOKUP(Z63,'Reference List'!$B$3:$F$202,5,FALSE)))</f>
        <v/>
      </c>
      <c r="J63" s="197" t="str">
        <f t="shared" si="1"/>
        <v/>
      </c>
      <c r="K63" s="56"/>
      <c r="L63" s="56"/>
      <c r="M63" s="82"/>
      <c r="Z63" s="203">
        <v>3200540</v>
      </c>
    </row>
    <row r="64" spans="1:26" x14ac:dyDescent="0.25">
      <c r="A64" s="47">
        <v>59</v>
      </c>
      <c r="B64" s="180" t="s">
        <v>219</v>
      </c>
      <c r="C64" s="187">
        <f t="shared" si="0"/>
        <v>43831</v>
      </c>
      <c r="D64" s="56"/>
      <c r="E64" s="56"/>
      <c r="F64" s="56"/>
      <c r="G64" s="56"/>
      <c r="H64" s="180" t="str">
        <f>IF(G64="","",(VLOOKUP(Z64,'Reference List'!$B$3:$D$173,2,FALSE)))</f>
        <v/>
      </c>
      <c r="I64" s="181" t="str">
        <f>IF(G64="","",(VLOOKUP(Z64,'Reference List'!$B$3:$F$202,5,FALSE)))</f>
        <v/>
      </c>
      <c r="J64" s="197" t="str">
        <f t="shared" si="1"/>
        <v/>
      </c>
      <c r="K64" s="56"/>
      <c r="L64" s="56"/>
      <c r="M64" s="82"/>
      <c r="Z64" s="203">
        <v>3200540</v>
      </c>
    </row>
    <row r="65" spans="1:26" x14ac:dyDescent="0.25">
      <c r="A65" s="59">
        <v>60</v>
      </c>
      <c r="B65" s="180" t="s">
        <v>220</v>
      </c>
      <c r="C65" s="187">
        <f t="shared" si="0"/>
        <v>43831</v>
      </c>
      <c r="D65" s="56"/>
      <c r="E65" s="56"/>
      <c r="F65" s="56"/>
      <c r="G65" s="56"/>
      <c r="H65" s="180" t="str">
        <f>IF(G65="","",(VLOOKUP(Z65,'Reference List'!$B$3:$D$173,2,FALSE)))</f>
        <v/>
      </c>
      <c r="I65" s="181" t="str">
        <f>IF(G65="","",(VLOOKUP(Z65,'Reference List'!$B$3:$F$202,5,FALSE)))</f>
        <v/>
      </c>
      <c r="J65" s="197" t="str">
        <f t="shared" si="1"/>
        <v/>
      </c>
      <c r="K65" s="56"/>
      <c r="L65" s="56"/>
      <c r="M65" s="82"/>
      <c r="Z65" s="203">
        <v>3200540</v>
      </c>
    </row>
    <row r="66" spans="1:26" x14ac:dyDescent="0.25">
      <c r="A66" s="47">
        <v>61</v>
      </c>
      <c r="B66" s="180" t="s">
        <v>221</v>
      </c>
      <c r="C66" s="187">
        <f t="shared" si="0"/>
        <v>43831</v>
      </c>
      <c r="D66" s="56"/>
      <c r="E66" s="56"/>
      <c r="F66" s="56"/>
      <c r="G66" s="56"/>
      <c r="H66" s="180" t="str">
        <f>IF(G66="","",(VLOOKUP(Z66,'Reference List'!$B$3:$D$173,2,FALSE)))</f>
        <v/>
      </c>
      <c r="I66" s="181" t="str">
        <f>IF(G66="","",(VLOOKUP(Z66,'Reference List'!$B$3:$F$202,5,FALSE)))</f>
        <v/>
      </c>
      <c r="J66" s="197" t="str">
        <f t="shared" si="1"/>
        <v/>
      </c>
      <c r="K66" s="56"/>
      <c r="L66" s="56"/>
      <c r="M66" s="82"/>
      <c r="Z66" s="203">
        <v>3200540</v>
      </c>
    </row>
    <row r="67" spans="1:26" x14ac:dyDescent="0.25">
      <c r="A67" s="59">
        <v>62</v>
      </c>
      <c r="B67" s="180" t="s">
        <v>222</v>
      </c>
      <c r="C67" s="187">
        <f t="shared" si="0"/>
        <v>43831</v>
      </c>
      <c r="D67" s="56"/>
      <c r="E67" s="56"/>
      <c r="F67" s="56"/>
      <c r="G67" s="56"/>
      <c r="H67" s="180" t="str">
        <f>IF(G67="","",(VLOOKUP(Z67,'Reference List'!$B$3:$D$173,2,FALSE)))</f>
        <v/>
      </c>
      <c r="I67" s="181" t="str">
        <f>IF(G67="","",(VLOOKUP(Z67,'Reference List'!$B$3:$F$202,5,FALSE)))</f>
        <v/>
      </c>
      <c r="J67" s="197" t="str">
        <f t="shared" si="1"/>
        <v/>
      </c>
      <c r="K67" s="56"/>
      <c r="L67" s="56"/>
      <c r="M67" s="82"/>
      <c r="Z67" s="203">
        <v>3200540</v>
      </c>
    </row>
    <row r="68" spans="1:26" x14ac:dyDescent="0.25">
      <c r="A68" s="47">
        <v>63</v>
      </c>
      <c r="B68" s="180" t="s">
        <v>223</v>
      </c>
      <c r="C68" s="187">
        <f t="shared" si="0"/>
        <v>43831</v>
      </c>
      <c r="D68" s="56"/>
      <c r="E68" s="56"/>
      <c r="F68" s="56"/>
      <c r="G68" s="56"/>
      <c r="H68" s="180" t="str">
        <f>IF(G68="","",(VLOOKUP(Z68,'Reference List'!$B$3:$D$173,2,FALSE)))</f>
        <v/>
      </c>
      <c r="I68" s="181" t="str">
        <f>IF(G68="","",(VLOOKUP(Z68,'Reference List'!$B$3:$F$202,5,FALSE)))</f>
        <v/>
      </c>
      <c r="J68" s="197" t="str">
        <f t="shared" si="1"/>
        <v/>
      </c>
      <c r="K68" s="56"/>
      <c r="L68" s="56"/>
      <c r="M68" s="82"/>
      <c r="Z68" s="203">
        <v>3200540</v>
      </c>
    </row>
    <row r="69" spans="1:26" x14ac:dyDescent="0.25">
      <c r="A69" s="59">
        <v>64</v>
      </c>
      <c r="B69" s="180" t="s">
        <v>224</v>
      </c>
      <c r="C69" s="187">
        <f t="shared" si="0"/>
        <v>43831</v>
      </c>
      <c r="D69" s="56"/>
      <c r="E69" s="56"/>
      <c r="F69" s="56"/>
      <c r="G69" s="56"/>
      <c r="H69" s="180" t="str">
        <f>IF(G69="","",(VLOOKUP(Z69,'Reference List'!$B$3:$D$173,2,FALSE)))</f>
        <v/>
      </c>
      <c r="I69" s="181" t="str">
        <f>IF(G69="","",(VLOOKUP(Z69,'Reference List'!$B$3:$F$202,5,FALSE)))</f>
        <v/>
      </c>
      <c r="J69" s="197" t="str">
        <f t="shared" si="1"/>
        <v/>
      </c>
      <c r="K69" s="56"/>
      <c r="L69" s="56"/>
      <c r="M69" s="82"/>
      <c r="Z69" s="203">
        <v>3200540</v>
      </c>
    </row>
    <row r="70" spans="1:26" x14ac:dyDescent="0.25">
      <c r="A70" s="47">
        <v>65</v>
      </c>
      <c r="B70" s="180" t="s">
        <v>225</v>
      </c>
      <c r="C70" s="187">
        <f t="shared" si="0"/>
        <v>43831</v>
      </c>
      <c r="D70" s="56"/>
      <c r="E70" s="56"/>
      <c r="F70" s="56"/>
      <c r="G70" s="56"/>
      <c r="H70" s="180" t="str">
        <f>IF(G70="","",(VLOOKUP(Z70,'Reference List'!$B$3:$D$173,2,FALSE)))</f>
        <v/>
      </c>
      <c r="I70" s="181" t="str">
        <f>IF(G70="","",(VLOOKUP(Z70,'Reference List'!$B$3:$F$202,5,FALSE)))</f>
        <v/>
      </c>
      <c r="J70" s="197" t="str">
        <f t="shared" si="1"/>
        <v/>
      </c>
      <c r="K70" s="56"/>
      <c r="L70" s="56"/>
      <c r="M70" s="82"/>
      <c r="Z70" s="203">
        <v>3200540</v>
      </c>
    </row>
    <row r="71" spans="1:26" x14ac:dyDescent="0.25">
      <c r="A71" s="59">
        <v>66</v>
      </c>
      <c r="B71" s="180" t="s">
        <v>226</v>
      </c>
      <c r="C71" s="187">
        <f t="shared" si="0"/>
        <v>43831</v>
      </c>
      <c r="D71" s="56"/>
      <c r="E71" s="56"/>
      <c r="F71" s="56"/>
      <c r="G71" s="56"/>
      <c r="H71" s="180" t="str">
        <f>IF(G71="","",(VLOOKUP(Z71,'Reference List'!$B$3:$D$173,2,FALSE)))</f>
        <v/>
      </c>
      <c r="I71" s="181" t="str">
        <f>IF(G71="","",(VLOOKUP(Z71,'Reference List'!$B$3:$F$202,5,FALSE)))</f>
        <v/>
      </c>
      <c r="J71" s="197" t="str">
        <f t="shared" si="1"/>
        <v/>
      </c>
      <c r="K71" s="56"/>
      <c r="L71" s="56"/>
      <c r="M71" s="82"/>
      <c r="Z71" s="203">
        <v>3200540</v>
      </c>
    </row>
    <row r="72" spans="1:26" x14ac:dyDescent="0.25">
      <c r="A72" s="47">
        <v>67</v>
      </c>
      <c r="B72" s="180" t="s">
        <v>227</v>
      </c>
      <c r="C72" s="187">
        <f t="shared" ref="C72:C105" si="2">+C71</f>
        <v>43831</v>
      </c>
      <c r="D72" s="56"/>
      <c r="E72" s="56"/>
      <c r="F72" s="56"/>
      <c r="G72" s="56"/>
      <c r="H72" s="180" t="str">
        <f>IF(G72="","",(VLOOKUP(Z72,'Reference List'!$B$3:$D$173,2,FALSE)))</f>
        <v/>
      </c>
      <c r="I72" s="181" t="str">
        <f>IF(G72="","",(VLOOKUP(Z72,'Reference List'!$B$3:$F$202,5,FALSE)))</f>
        <v/>
      </c>
      <c r="J72" s="197" t="str">
        <f t="shared" si="1"/>
        <v/>
      </c>
      <c r="K72" s="56"/>
      <c r="L72" s="56"/>
      <c r="M72" s="82"/>
      <c r="Z72" s="203">
        <v>3200540</v>
      </c>
    </row>
    <row r="73" spans="1:26" x14ac:dyDescent="0.25">
      <c r="A73" s="59">
        <v>68</v>
      </c>
      <c r="B73" s="180" t="s">
        <v>228</v>
      </c>
      <c r="C73" s="187">
        <f t="shared" si="2"/>
        <v>43831</v>
      </c>
      <c r="D73" s="56"/>
      <c r="E73" s="56"/>
      <c r="F73" s="56"/>
      <c r="G73" s="56"/>
      <c r="H73" s="180" t="str">
        <f>IF(G73="","",(VLOOKUP(Z73,'Reference List'!$B$3:$D$173,2,FALSE)))</f>
        <v/>
      </c>
      <c r="I73" s="181" t="str">
        <f>IF(G73="","",(VLOOKUP(Z73,'Reference List'!$B$3:$F$202,5,FALSE)))</f>
        <v/>
      </c>
      <c r="J73" s="197" t="str">
        <f t="shared" si="1"/>
        <v/>
      </c>
      <c r="K73" s="56"/>
      <c r="L73" s="56"/>
      <c r="M73" s="82"/>
      <c r="Z73" s="203">
        <v>3200540</v>
      </c>
    </row>
    <row r="74" spans="1:26" x14ac:dyDescent="0.25">
      <c r="A74" s="47">
        <v>69</v>
      </c>
      <c r="B74" s="180" t="s">
        <v>229</v>
      </c>
      <c r="C74" s="187">
        <f t="shared" si="2"/>
        <v>43831</v>
      </c>
      <c r="D74" s="56"/>
      <c r="E74" s="56"/>
      <c r="F74" s="56"/>
      <c r="G74" s="56"/>
      <c r="H74" s="180" t="str">
        <f>IF(G74="","",(VLOOKUP(Z74,'Reference List'!$B$3:$D$173,2,FALSE)))</f>
        <v/>
      </c>
      <c r="I74" s="181" t="str">
        <f>IF(G74="","",(VLOOKUP(Z74,'Reference List'!$B$3:$F$202,5,FALSE)))</f>
        <v/>
      </c>
      <c r="J74" s="197" t="str">
        <f t="shared" si="1"/>
        <v/>
      </c>
      <c r="K74" s="56"/>
      <c r="L74" s="56"/>
      <c r="M74" s="82"/>
      <c r="Z74" s="203">
        <v>3200540</v>
      </c>
    </row>
    <row r="75" spans="1:26" x14ac:dyDescent="0.25">
      <c r="A75" s="59">
        <v>70</v>
      </c>
      <c r="B75" s="180" t="s">
        <v>230</v>
      </c>
      <c r="C75" s="187">
        <f t="shared" si="2"/>
        <v>43831</v>
      </c>
      <c r="D75" s="56"/>
      <c r="E75" s="56"/>
      <c r="F75" s="56"/>
      <c r="G75" s="56"/>
      <c r="H75" s="180" t="str">
        <f>IF(G75="","",(VLOOKUP(Z75,'Reference List'!$B$3:$D$173,2,FALSE)))</f>
        <v/>
      </c>
      <c r="I75" s="181" t="str">
        <f>IF(G75="","",(VLOOKUP(Z75,'Reference List'!$B$3:$F$202,5,FALSE)))</f>
        <v/>
      </c>
      <c r="J75" s="197" t="str">
        <f t="shared" si="1"/>
        <v/>
      </c>
      <c r="K75" s="56"/>
      <c r="L75" s="56"/>
      <c r="M75" s="82"/>
      <c r="Z75" s="203">
        <v>3200540</v>
      </c>
    </row>
    <row r="76" spans="1:26" x14ac:dyDescent="0.25">
      <c r="A76" s="47">
        <v>71</v>
      </c>
      <c r="B76" s="180" t="s">
        <v>231</v>
      </c>
      <c r="C76" s="187">
        <f t="shared" si="2"/>
        <v>43831</v>
      </c>
      <c r="D76" s="56"/>
      <c r="E76" s="56"/>
      <c r="F76" s="56"/>
      <c r="G76" s="56"/>
      <c r="H76" s="180" t="str">
        <f>IF(G76="","",(VLOOKUP(Z76,'Reference List'!$B$3:$D$173,2,FALSE)))</f>
        <v/>
      </c>
      <c r="I76" s="181" t="str">
        <f>IF(G76="","",(VLOOKUP(Z76,'Reference List'!$B$3:$F$202,5,FALSE)))</f>
        <v/>
      </c>
      <c r="J76" s="197" t="str">
        <f t="shared" si="1"/>
        <v/>
      </c>
      <c r="K76" s="56"/>
      <c r="L76" s="56"/>
      <c r="M76" s="82"/>
      <c r="Z76" s="203">
        <v>3200540</v>
      </c>
    </row>
    <row r="77" spans="1:26" x14ac:dyDescent="0.25">
      <c r="A77" s="59">
        <v>72</v>
      </c>
      <c r="B77" s="180" t="s">
        <v>232</v>
      </c>
      <c r="C77" s="187">
        <f t="shared" si="2"/>
        <v>43831</v>
      </c>
      <c r="D77" s="56"/>
      <c r="E77" s="56"/>
      <c r="F77" s="56"/>
      <c r="G77" s="56"/>
      <c r="H77" s="180" t="str">
        <f>IF(G77="","",(VLOOKUP(Z77,'Reference List'!$B$3:$D$173,2,FALSE)))</f>
        <v/>
      </c>
      <c r="I77" s="181" t="str">
        <f>IF(G77="","",(VLOOKUP(Z77,'Reference List'!$B$3:$F$202,5,FALSE)))</f>
        <v/>
      </c>
      <c r="J77" s="197" t="str">
        <f t="shared" si="1"/>
        <v/>
      </c>
      <c r="K77" s="56"/>
      <c r="L77" s="56"/>
      <c r="M77" s="82"/>
      <c r="Z77" s="203">
        <v>3200540</v>
      </c>
    </row>
    <row r="78" spans="1:26" x14ac:dyDescent="0.25">
      <c r="A78" s="47">
        <v>73</v>
      </c>
      <c r="B78" s="180" t="s">
        <v>233</v>
      </c>
      <c r="C78" s="187">
        <f t="shared" si="2"/>
        <v>43831</v>
      </c>
      <c r="D78" s="56"/>
      <c r="E78" s="56"/>
      <c r="F78" s="56"/>
      <c r="G78" s="56"/>
      <c r="H78" s="180" t="str">
        <f>IF(G78="","",(VLOOKUP(Z78,'Reference List'!$B$3:$D$173,2,FALSE)))</f>
        <v/>
      </c>
      <c r="I78" s="181" t="str">
        <f>IF(G78="","",(VLOOKUP(Z78,'Reference List'!$B$3:$F$202,5,FALSE)))</f>
        <v/>
      </c>
      <c r="J78" s="197" t="str">
        <f t="shared" si="1"/>
        <v/>
      </c>
      <c r="K78" s="56"/>
      <c r="L78" s="56"/>
      <c r="M78" s="82"/>
      <c r="Z78" s="203">
        <v>3200540</v>
      </c>
    </row>
    <row r="79" spans="1:26" x14ac:dyDescent="0.25">
      <c r="A79" s="59">
        <v>74</v>
      </c>
      <c r="B79" s="180" t="s">
        <v>234</v>
      </c>
      <c r="C79" s="187">
        <f t="shared" si="2"/>
        <v>43831</v>
      </c>
      <c r="D79" s="56"/>
      <c r="E79" s="56"/>
      <c r="F79" s="56"/>
      <c r="G79" s="56"/>
      <c r="H79" s="180" t="str">
        <f>IF(G79="","",(VLOOKUP(Z79,'Reference List'!$B$3:$D$173,2,FALSE)))</f>
        <v/>
      </c>
      <c r="I79" s="181" t="str">
        <f>IF(G79="","",(VLOOKUP(Z79,'Reference List'!$B$3:$F$202,5,FALSE)))</f>
        <v/>
      </c>
      <c r="J79" s="197" t="str">
        <f t="shared" si="1"/>
        <v/>
      </c>
      <c r="K79" s="56"/>
      <c r="L79" s="56"/>
      <c r="M79" s="82"/>
      <c r="Z79" s="203">
        <v>3200540</v>
      </c>
    </row>
    <row r="80" spans="1:26" x14ac:dyDescent="0.25">
      <c r="A80" s="47">
        <v>75</v>
      </c>
      <c r="B80" s="180" t="s">
        <v>235</v>
      </c>
      <c r="C80" s="187">
        <f t="shared" si="2"/>
        <v>43831</v>
      </c>
      <c r="D80" s="56"/>
      <c r="E80" s="56"/>
      <c r="F80" s="56"/>
      <c r="G80" s="56"/>
      <c r="H80" s="180" t="str">
        <f>IF(G80="","",(VLOOKUP(Z80,'Reference List'!$B$3:$D$173,2,FALSE)))</f>
        <v/>
      </c>
      <c r="I80" s="181" t="str">
        <f>IF(G80="","",(VLOOKUP(Z80,'Reference List'!$B$3:$F$202,5,FALSE)))</f>
        <v/>
      </c>
      <c r="J80" s="197" t="str">
        <f t="shared" si="1"/>
        <v/>
      </c>
      <c r="K80" s="56"/>
      <c r="L80" s="56"/>
      <c r="M80" s="82"/>
      <c r="Z80" s="203">
        <v>3200540</v>
      </c>
    </row>
    <row r="81" spans="1:26" x14ac:dyDescent="0.25">
      <c r="A81" s="59">
        <v>76</v>
      </c>
      <c r="B81" s="180" t="s">
        <v>236</v>
      </c>
      <c r="C81" s="187">
        <f t="shared" si="2"/>
        <v>43831</v>
      </c>
      <c r="D81" s="56"/>
      <c r="E81" s="56"/>
      <c r="F81" s="56"/>
      <c r="G81" s="56"/>
      <c r="H81" s="180" t="str">
        <f>IF(G81="","",(VLOOKUP(Z81,'Reference List'!$B$3:$D$173,2,FALSE)))</f>
        <v/>
      </c>
      <c r="I81" s="181" t="str">
        <f>IF(G81="","",(VLOOKUP(Z81,'Reference List'!$B$3:$F$202,5,FALSE)))</f>
        <v/>
      </c>
      <c r="J81" s="197" t="str">
        <f t="shared" si="1"/>
        <v/>
      </c>
      <c r="K81" s="56"/>
      <c r="L81" s="56"/>
      <c r="M81" s="82"/>
      <c r="Z81" s="203">
        <v>3200540</v>
      </c>
    </row>
    <row r="82" spans="1:26" x14ac:dyDescent="0.25">
      <c r="A82" s="47">
        <v>77</v>
      </c>
      <c r="B82" s="180" t="s">
        <v>237</v>
      </c>
      <c r="C82" s="187">
        <f t="shared" si="2"/>
        <v>43831</v>
      </c>
      <c r="D82" s="56"/>
      <c r="E82" s="56"/>
      <c r="F82" s="56"/>
      <c r="G82" s="56"/>
      <c r="H82" s="180" t="str">
        <f>IF(G82="","",(VLOOKUP(Z82,'Reference List'!$B$3:$D$173,2,FALSE)))</f>
        <v/>
      </c>
      <c r="I82" s="181" t="str">
        <f>IF(G82="","",(VLOOKUP(Z82,'Reference List'!$B$3:$F$202,5,FALSE)))</f>
        <v/>
      </c>
      <c r="J82" s="197" t="str">
        <f t="shared" si="1"/>
        <v/>
      </c>
      <c r="K82" s="56"/>
      <c r="L82" s="56"/>
      <c r="M82" s="82"/>
      <c r="Z82" s="203">
        <v>3200540</v>
      </c>
    </row>
    <row r="83" spans="1:26" x14ac:dyDescent="0.25">
      <c r="A83" s="59">
        <v>78</v>
      </c>
      <c r="B83" s="180" t="s">
        <v>238</v>
      </c>
      <c r="C83" s="187">
        <f t="shared" si="2"/>
        <v>43831</v>
      </c>
      <c r="D83" s="56"/>
      <c r="E83" s="56"/>
      <c r="F83" s="56"/>
      <c r="G83" s="56"/>
      <c r="H83" s="180" t="str">
        <f>IF(G83="","",(VLOOKUP(Z83,'Reference List'!$B$3:$D$173,2,FALSE)))</f>
        <v/>
      </c>
      <c r="I83" s="181" t="str">
        <f>IF(G83="","",(VLOOKUP(Z83,'Reference List'!$B$3:$F$202,5,FALSE)))</f>
        <v/>
      </c>
      <c r="J83" s="197" t="str">
        <f t="shared" ref="J83:J105" si="3">IF(LEFT(G83,8)="BUNNINGS","Loscam pallets only",IF(G83="MM ELECTRICAL BIBRA LAKE WA","Plain pallets only",""))</f>
        <v/>
      </c>
      <c r="K83" s="56"/>
      <c r="L83" s="56"/>
      <c r="M83" s="82"/>
      <c r="Z83" s="203">
        <v>3200540</v>
      </c>
    </row>
    <row r="84" spans="1:26" x14ac:dyDescent="0.25">
      <c r="A84" s="47">
        <v>79</v>
      </c>
      <c r="B84" s="180" t="s">
        <v>239</v>
      </c>
      <c r="C84" s="187">
        <f t="shared" si="2"/>
        <v>43831</v>
      </c>
      <c r="D84" s="56"/>
      <c r="E84" s="56"/>
      <c r="F84" s="56"/>
      <c r="G84" s="56"/>
      <c r="H84" s="180" t="str">
        <f>IF(G84="","",(VLOOKUP(Z84,'Reference List'!$B$3:$D$173,2,FALSE)))</f>
        <v/>
      </c>
      <c r="I84" s="181" t="str">
        <f>IF(G84="","",(VLOOKUP(Z84,'Reference List'!$B$3:$F$202,5,FALSE)))</f>
        <v/>
      </c>
      <c r="J84" s="197" t="str">
        <f t="shared" si="3"/>
        <v/>
      </c>
      <c r="K84" s="56"/>
      <c r="L84" s="56"/>
      <c r="M84" s="56"/>
      <c r="Z84" s="203">
        <v>3200540</v>
      </c>
    </row>
    <row r="85" spans="1:26" x14ac:dyDescent="0.25">
      <c r="A85" s="59">
        <v>80</v>
      </c>
      <c r="B85" s="180" t="s">
        <v>240</v>
      </c>
      <c r="C85" s="187">
        <f t="shared" si="2"/>
        <v>43831</v>
      </c>
      <c r="D85" s="56"/>
      <c r="E85" s="56"/>
      <c r="F85" s="56"/>
      <c r="G85" s="56"/>
      <c r="H85" s="180" t="str">
        <f>IF(G85="","",(VLOOKUP(Z85,'Reference List'!$B$3:$D$173,2,FALSE)))</f>
        <v/>
      </c>
      <c r="I85" s="181" t="str">
        <f>IF(G85="","",(VLOOKUP(Z85,'Reference List'!$B$3:$F$202,5,FALSE)))</f>
        <v/>
      </c>
      <c r="J85" s="197" t="str">
        <f t="shared" si="3"/>
        <v/>
      </c>
      <c r="K85" s="56"/>
      <c r="L85" s="56"/>
      <c r="M85" s="56"/>
      <c r="Z85" s="203">
        <v>3200540</v>
      </c>
    </row>
    <row r="86" spans="1:26" x14ac:dyDescent="0.25">
      <c r="A86" s="47">
        <v>81</v>
      </c>
      <c r="B86" s="180" t="s">
        <v>241</v>
      </c>
      <c r="C86" s="187">
        <f t="shared" si="2"/>
        <v>43831</v>
      </c>
      <c r="D86" s="56"/>
      <c r="E86" s="56"/>
      <c r="F86" s="56"/>
      <c r="G86" s="56"/>
      <c r="H86" s="180" t="str">
        <f>IF(G86="","",(VLOOKUP(Z86,'Reference List'!$B$3:$D$173,2,FALSE)))</f>
        <v/>
      </c>
      <c r="I86" s="181" t="str">
        <f>IF(G86="","",(VLOOKUP(Z86,'Reference List'!$B$3:$F$202,5,FALSE)))</f>
        <v/>
      </c>
      <c r="J86" s="197" t="str">
        <f t="shared" si="3"/>
        <v/>
      </c>
      <c r="K86" s="56"/>
      <c r="L86" s="56"/>
      <c r="M86" s="56"/>
      <c r="Z86" s="203">
        <v>3200540</v>
      </c>
    </row>
    <row r="87" spans="1:26" x14ac:dyDescent="0.25">
      <c r="A87" s="59">
        <v>82</v>
      </c>
      <c r="B87" s="180" t="s">
        <v>242</v>
      </c>
      <c r="C87" s="187">
        <f t="shared" si="2"/>
        <v>43831</v>
      </c>
      <c r="D87" s="56"/>
      <c r="E87" s="56"/>
      <c r="F87" s="56"/>
      <c r="G87" s="56"/>
      <c r="H87" s="180" t="str">
        <f>IF(G87="","",(VLOOKUP(Z87,'Reference List'!$B$3:$D$173,2,FALSE)))</f>
        <v/>
      </c>
      <c r="I87" s="181" t="str">
        <f>IF(G87="","",(VLOOKUP(Z87,'Reference List'!$B$3:$F$202,5,FALSE)))</f>
        <v/>
      </c>
      <c r="J87" s="197" t="str">
        <f t="shared" si="3"/>
        <v/>
      </c>
      <c r="K87" s="56"/>
      <c r="L87" s="56"/>
      <c r="M87" s="56"/>
      <c r="Z87" s="203">
        <v>3200540</v>
      </c>
    </row>
    <row r="88" spans="1:26" x14ac:dyDescent="0.25">
      <c r="A88" s="47">
        <v>83</v>
      </c>
      <c r="B88" s="180" t="s">
        <v>243</v>
      </c>
      <c r="C88" s="187">
        <f t="shared" si="2"/>
        <v>43831</v>
      </c>
      <c r="D88" s="56"/>
      <c r="E88" s="56"/>
      <c r="F88" s="56"/>
      <c r="G88" s="56"/>
      <c r="H88" s="180" t="str">
        <f>IF(G88="","",(VLOOKUP(Z88,'Reference List'!$B$3:$D$173,2,FALSE)))</f>
        <v/>
      </c>
      <c r="I88" s="181" t="str">
        <f>IF(G88="","",(VLOOKUP(Z88,'Reference List'!$B$3:$F$202,5,FALSE)))</f>
        <v/>
      </c>
      <c r="J88" s="197" t="str">
        <f t="shared" si="3"/>
        <v/>
      </c>
      <c r="K88" s="56"/>
      <c r="L88" s="56"/>
      <c r="M88" s="56"/>
      <c r="Z88" s="203">
        <v>3200540</v>
      </c>
    </row>
    <row r="89" spans="1:26" x14ac:dyDescent="0.25">
      <c r="A89" s="59">
        <v>84</v>
      </c>
      <c r="B89" s="180" t="s">
        <v>244</v>
      </c>
      <c r="C89" s="187">
        <f t="shared" si="2"/>
        <v>43831</v>
      </c>
      <c r="D89" s="56"/>
      <c r="E89" s="56"/>
      <c r="F89" s="56"/>
      <c r="G89" s="56"/>
      <c r="H89" s="180" t="str">
        <f>IF(G89="","",(VLOOKUP(Z89,'Reference List'!$B$3:$D$173,2,FALSE)))</f>
        <v/>
      </c>
      <c r="I89" s="181" t="str">
        <f>IF(G89="","",(VLOOKUP(Z89,'Reference List'!$B$3:$F$202,5,FALSE)))</f>
        <v/>
      </c>
      <c r="J89" s="197" t="str">
        <f t="shared" si="3"/>
        <v/>
      </c>
      <c r="K89" s="56"/>
      <c r="L89" s="56"/>
      <c r="M89" s="56"/>
      <c r="Z89" s="203">
        <v>3200540</v>
      </c>
    </row>
    <row r="90" spans="1:26" x14ac:dyDescent="0.25">
      <c r="A90" s="47">
        <v>85</v>
      </c>
      <c r="B90" s="180" t="s">
        <v>245</v>
      </c>
      <c r="C90" s="187">
        <f t="shared" si="2"/>
        <v>43831</v>
      </c>
      <c r="D90" s="56"/>
      <c r="E90" s="56"/>
      <c r="F90" s="56"/>
      <c r="G90" s="56"/>
      <c r="H90" s="180" t="str">
        <f>IF(G90="","",(VLOOKUP(Z90,'Reference List'!$B$3:$D$173,2,FALSE)))</f>
        <v/>
      </c>
      <c r="I90" s="181" t="str">
        <f>IF(G90="","",(VLOOKUP(Z90,'Reference List'!$B$3:$F$202,5,FALSE)))</f>
        <v/>
      </c>
      <c r="J90" s="197" t="str">
        <f t="shared" si="3"/>
        <v/>
      </c>
      <c r="K90" s="56"/>
      <c r="L90" s="56"/>
      <c r="M90" s="56"/>
      <c r="Z90" s="203">
        <v>3200540</v>
      </c>
    </row>
    <row r="91" spans="1:26" x14ac:dyDescent="0.25">
      <c r="A91" s="59">
        <v>86</v>
      </c>
      <c r="B91" s="180" t="s">
        <v>246</v>
      </c>
      <c r="C91" s="187">
        <f t="shared" si="2"/>
        <v>43831</v>
      </c>
      <c r="D91" s="56"/>
      <c r="E91" s="56"/>
      <c r="F91" s="56"/>
      <c r="G91" s="56"/>
      <c r="H91" s="180" t="str">
        <f>IF(G91="","",(VLOOKUP(Z91,'Reference List'!$B$3:$D$173,2,FALSE)))</f>
        <v/>
      </c>
      <c r="I91" s="181" t="str">
        <f>IF(G91="","",(VLOOKUP(Z91,'Reference List'!$B$3:$F$202,5,FALSE)))</f>
        <v/>
      </c>
      <c r="J91" s="197" t="str">
        <f t="shared" si="3"/>
        <v/>
      </c>
      <c r="K91" s="56"/>
      <c r="L91" s="56"/>
      <c r="M91" s="56"/>
      <c r="Z91" s="203">
        <v>3200540</v>
      </c>
    </row>
    <row r="92" spans="1:26" x14ac:dyDescent="0.25">
      <c r="A92" s="47">
        <v>87</v>
      </c>
      <c r="B92" s="180" t="s">
        <v>247</v>
      </c>
      <c r="C92" s="187">
        <f t="shared" si="2"/>
        <v>43831</v>
      </c>
      <c r="D92" s="56"/>
      <c r="E92" s="56"/>
      <c r="F92" s="56"/>
      <c r="G92" s="56"/>
      <c r="H92" s="180" t="str">
        <f>IF(G92="","",(VLOOKUP(Z92,'Reference List'!$B$3:$D$173,2,FALSE)))</f>
        <v/>
      </c>
      <c r="I92" s="181" t="str">
        <f>IF(G92="","",(VLOOKUP(Z92,'Reference List'!$B$3:$F$202,5,FALSE)))</f>
        <v/>
      </c>
      <c r="J92" s="197" t="str">
        <f t="shared" si="3"/>
        <v/>
      </c>
      <c r="K92" s="56"/>
      <c r="L92" s="56"/>
      <c r="M92" s="56"/>
      <c r="Z92" s="203">
        <v>3200540</v>
      </c>
    </row>
    <row r="93" spans="1:26" x14ac:dyDescent="0.25">
      <c r="A93" s="59">
        <v>88</v>
      </c>
      <c r="B93" s="180" t="s">
        <v>248</v>
      </c>
      <c r="C93" s="187">
        <f t="shared" si="2"/>
        <v>43831</v>
      </c>
      <c r="D93" s="56"/>
      <c r="E93" s="56"/>
      <c r="F93" s="56"/>
      <c r="G93" s="56"/>
      <c r="H93" s="180" t="str">
        <f>IF(G93="","",(VLOOKUP(Z93,'Reference List'!$B$3:$D$173,2,FALSE)))</f>
        <v/>
      </c>
      <c r="I93" s="181" t="str">
        <f>IF(G93="","",(VLOOKUP(Z93,'Reference List'!$B$3:$F$202,5,FALSE)))</f>
        <v/>
      </c>
      <c r="J93" s="197" t="str">
        <f t="shared" si="3"/>
        <v/>
      </c>
      <c r="K93" s="56"/>
      <c r="L93" s="56"/>
      <c r="M93" s="56"/>
      <c r="Z93" s="203">
        <v>3200540</v>
      </c>
    </row>
    <row r="94" spans="1:26" x14ac:dyDescent="0.25">
      <c r="A94" s="47">
        <v>89</v>
      </c>
      <c r="B94" s="180" t="s">
        <v>249</v>
      </c>
      <c r="C94" s="187">
        <f t="shared" si="2"/>
        <v>43831</v>
      </c>
      <c r="D94" s="56"/>
      <c r="E94" s="56"/>
      <c r="F94" s="56"/>
      <c r="G94" s="56"/>
      <c r="H94" s="180" t="str">
        <f>IF(G94="","",(VLOOKUP(Z94,'Reference List'!$B$3:$D$173,2,FALSE)))</f>
        <v/>
      </c>
      <c r="I94" s="181" t="str">
        <f>IF(G94="","",(VLOOKUP(Z94,'Reference List'!$B$3:$F$202,5,FALSE)))</f>
        <v/>
      </c>
      <c r="J94" s="197" t="str">
        <f t="shared" si="3"/>
        <v/>
      </c>
      <c r="K94" s="56"/>
      <c r="L94" s="56"/>
      <c r="M94" s="56"/>
      <c r="Z94" s="203">
        <v>3200540</v>
      </c>
    </row>
    <row r="95" spans="1:26" x14ac:dyDescent="0.25">
      <c r="A95" s="59">
        <v>90</v>
      </c>
      <c r="B95" s="180" t="s">
        <v>250</v>
      </c>
      <c r="C95" s="187">
        <f t="shared" si="2"/>
        <v>43831</v>
      </c>
      <c r="D95" s="56"/>
      <c r="E95" s="56"/>
      <c r="F95" s="56"/>
      <c r="G95" s="56"/>
      <c r="H95" s="180" t="str">
        <f>IF(G95="","",(VLOOKUP(Z95,'Reference List'!$B$3:$D$173,2,FALSE)))</f>
        <v/>
      </c>
      <c r="I95" s="181" t="str">
        <f>IF(G95="","",(VLOOKUP(Z95,'Reference List'!$B$3:$F$202,5,FALSE)))</f>
        <v/>
      </c>
      <c r="J95" s="197" t="str">
        <f t="shared" si="3"/>
        <v/>
      </c>
      <c r="K95" s="56"/>
      <c r="L95" s="56"/>
      <c r="M95" s="56"/>
      <c r="Z95" s="203">
        <v>3200540</v>
      </c>
    </row>
    <row r="96" spans="1:26" x14ac:dyDescent="0.25">
      <c r="A96" s="47">
        <v>91</v>
      </c>
      <c r="B96" s="180" t="s">
        <v>251</v>
      </c>
      <c r="C96" s="187">
        <f t="shared" si="2"/>
        <v>43831</v>
      </c>
      <c r="D96" s="56"/>
      <c r="E96" s="56"/>
      <c r="F96" s="56"/>
      <c r="G96" s="56"/>
      <c r="H96" s="180" t="str">
        <f>IF(G96="","",(VLOOKUP(Z96,'Reference List'!$B$3:$D$173,2,FALSE)))</f>
        <v/>
      </c>
      <c r="I96" s="181" t="str">
        <f>IF(G96="","",(VLOOKUP(Z96,'Reference List'!$B$3:$F$202,5,FALSE)))</f>
        <v/>
      </c>
      <c r="J96" s="197" t="str">
        <f t="shared" si="3"/>
        <v/>
      </c>
      <c r="K96" s="56"/>
      <c r="L96" s="56"/>
      <c r="M96" s="56"/>
      <c r="Z96" s="203">
        <v>3200540</v>
      </c>
    </row>
    <row r="97" spans="1:26" x14ac:dyDescent="0.25">
      <c r="A97" s="59">
        <v>92</v>
      </c>
      <c r="B97" s="180" t="s">
        <v>252</v>
      </c>
      <c r="C97" s="187">
        <f t="shared" si="2"/>
        <v>43831</v>
      </c>
      <c r="D97" s="56"/>
      <c r="E97" s="56"/>
      <c r="F97" s="56"/>
      <c r="G97" s="56"/>
      <c r="H97" s="180" t="str">
        <f>IF(G97="","",(VLOOKUP(Z97,'Reference List'!$B$3:$D$173,2,FALSE)))</f>
        <v/>
      </c>
      <c r="I97" s="181" t="str">
        <f>IF(G97="","",(VLOOKUP(Z97,'Reference List'!$B$3:$F$202,5,FALSE)))</f>
        <v/>
      </c>
      <c r="J97" s="197" t="str">
        <f t="shared" si="3"/>
        <v/>
      </c>
      <c r="K97" s="56"/>
      <c r="L97" s="56"/>
      <c r="M97" s="56"/>
      <c r="Z97" s="203">
        <v>3200540</v>
      </c>
    </row>
    <row r="98" spans="1:26" x14ac:dyDescent="0.25">
      <c r="A98" s="47">
        <v>93</v>
      </c>
      <c r="B98" s="180" t="s">
        <v>253</v>
      </c>
      <c r="C98" s="187">
        <f t="shared" si="2"/>
        <v>43831</v>
      </c>
      <c r="D98" s="56"/>
      <c r="E98" s="56"/>
      <c r="F98" s="56"/>
      <c r="G98" s="56"/>
      <c r="H98" s="180" t="str">
        <f>IF(G98="","",(VLOOKUP(Z98,'Reference List'!$B$3:$D$173,2,FALSE)))</f>
        <v/>
      </c>
      <c r="I98" s="181" t="str">
        <f>IF(G98="","",(VLOOKUP(Z98,'Reference List'!$B$3:$F$202,5,FALSE)))</f>
        <v/>
      </c>
      <c r="J98" s="197" t="str">
        <f t="shared" si="3"/>
        <v/>
      </c>
      <c r="K98" s="56"/>
      <c r="L98" s="56"/>
      <c r="M98" s="56"/>
      <c r="Z98" s="203">
        <v>3200540</v>
      </c>
    </row>
    <row r="99" spans="1:26" x14ac:dyDescent="0.25">
      <c r="A99" s="59">
        <v>94</v>
      </c>
      <c r="B99" s="180" t="s">
        <v>254</v>
      </c>
      <c r="C99" s="187">
        <f t="shared" si="2"/>
        <v>43831</v>
      </c>
      <c r="D99" s="56"/>
      <c r="E99" s="56"/>
      <c r="F99" s="56"/>
      <c r="G99" s="56"/>
      <c r="H99" s="180" t="str">
        <f>IF(G99="","",(VLOOKUP(Z99,'Reference List'!$B$3:$D$173,2,FALSE)))</f>
        <v/>
      </c>
      <c r="I99" s="181" t="str">
        <f>IF(G99="","",(VLOOKUP(Z99,'Reference List'!$B$3:$F$202,5,FALSE)))</f>
        <v/>
      </c>
      <c r="J99" s="197" t="str">
        <f t="shared" si="3"/>
        <v/>
      </c>
      <c r="K99" s="56"/>
      <c r="L99" s="56"/>
      <c r="M99" s="56"/>
      <c r="Z99" s="203">
        <v>3200540</v>
      </c>
    </row>
    <row r="100" spans="1:26" x14ac:dyDescent="0.25">
      <c r="A100" s="47">
        <v>95</v>
      </c>
      <c r="B100" s="180" t="s">
        <v>255</v>
      </c>
      <c r="C100" s="187">
        <f t="shared" si="2"/>
        <v>43831</v>
      </c>
      <c r="D100" s="56"/>
      <c r="E100" s="56"/>
      <c r="F100" s="56"/>
      <c r="G100" s="56"/>
      <c r="H100" s="180" t="str">
        <f>IF(G100="","",(VLOOKUP(Z100,'Reference List'!$B$3:$D$173,2,FALSE)))</f>
        <v/>
      </c>
      <c r="I100" s="181" t="str">
        <f>IF(G100="","",(VLOOKUP(Z100,'Reference List'!$B$3:$F$202,5,FALSE)))</f>
        <v/>
      </c>
      <c r="J100" s="197" t="str">
        <f t="shared" si="3"/>
        <v/>
      </c>
      <c r="K100" s="56"/>
      <c r="L100" s="56"/>
      <c r="M100" s="56"/>
      <c r="Z100" s="203">
        <v>3200540</v>
      </c>
    </row>
    <row r="101" spans="1:26" x14ac:dyDescent="0.25">
      <c r="A101" s="59">
        <v>96</v>
      </c>
      <c r="B101" s="180" t="s">
        <v>256</v>
      </c>
      <c r="C101" s="187">
        <f t="shared" si="2"/>
        <v>43831</v>
      </c>
      <c r="D101" s="56"/>
      <c r="E101" s="56"/>
      <c r="F101" s="56"/>
      <c r="G101" s="56"/>
      <c r="H101" s="180" t="str">
        <f>IF(G101="","",(VLOOKUP(Z101,'Reference List'!$B$3:$D$173,2,FALSE)))</f>
        <v/>
      </c>
      <c r="I101" s="181" t="str">
        <f>IF(G101="","",(VLOOKUP(Z101,'Reference List'!$B$3:$F$202,5,FALSE)))</f>
        <v/>
      </c>
      <c r="J101" s="197" t="str">
        <f t="shared" si="3"/>
        <v/>
      </c>
      <c r="K101" s="56"/>
      <c r="L101" s="56"/>
      <c r="M101" s="56"/>
      <c r="Z101" s="203">
        <v>3200540</v>
      </c>
    </row>
    <row r="102" spans="1:26" x14ac:dyDescent="0.25">
      <c r="A102" s="47">
        <v>97</v>
      </c>
      <c r="B102" s="180" t="s">
        <v>257</v>
      </c>
      <c r="C102" s="187">
        <f t="shared" si="2"/>
        <v>43831</v>
      </c>
      <c r="D102" s="56"/>
      <c r="E102" s="56"/>
      <c r="F102" s="56"/>
      <c r="G102" s="56"/>
      <c r="H102" s="180" t="str">
        <f>IF(G102="","",(VLOOKUP(Z102,'Reference List'!$B$3:$D$173,2,FALSE)))</f>
        <v/>
      </c>
      <c r="I102" s="181" t="str">
        <f>IF(G102="","",(VLOOKUP(Z102,'Reference List'!$B$3:$F$202,5,FALSE)))</f>
        <v/>
      </c>
      <c r="J102" s="197" t="str">
        <f t="shared" si="3"/>
        <v/>
      </c>
      <c r="K102" s="56"/>
      <c r="L102" s="56"/>
      <c r="M102" s="56"/>
      <c r="Z102" s="203">
        <v>3200540</v>
      </c>
    </row>
    <row r="103" spans="1:26" x14ac:dyDescent="0.25">
      <c r="A103" s="59">
        <v>98</v>
      </c>
      <c r="B103" s="180" t="s">
        <v>258</v>
      </c>
      <c r="C103" s="187">
        <f t="shared" si="2"/>
        <v>43831</v>
      </c>
      <c r="D103" s="56"/>
      <c r="E103" s="56"/>
      <c r="F103" s="56"/>
      <c r="G103" s="56"/>
      <c r="H103" s="180" t="str">
        <f>IF(G103="","",(VLOOKUP(Z103,'Reference List'!$B$3:$D$173,2,FALSE)))</f>
        <v/>
      </c>
      <c r="I103" s="181" t="str">
        <f>IF(G103="","",(VLOOKUP(Z103,'Reference List'!$B$3:$F$202,5,FALSE)))</f>
        <v/>
      </c>
      <c r="J103" s="197" t="str">
        <f t="shared" si="3"/>
        <v/>
      </c>
      <c r="K103" s="56"/>
      <c r="L103" s="56"/>
      <c r="M103" s="56"/>
      <c r="Z103" s="203">
        <v>3200540</v>
      </c>
    </row>
    <row r="104" spans="1:26" x14ac:dyDescent="0.25">
      <c r="A104" s="47">
        <v>99</v>
      </c>
      <c r="B104" s="180" t="s">
        <v>259</v>
      </c>
      <c r="C104" s="187">
        <f t="shared" si="2"/>
        <v>43831</v>
      </c>
      <c r="D104" s="56"/>
      <c r="E104" s="56"/>
      <c r="F104" s="56"/>
      <c r="G104" s="56"/>
      <c r="H104" s="180" t="str">
        <f>IF(G104="","",(VLOOKUP(Z104,'Reference List'!$B$3:$D$173,2,FALSE)))</f>
        <v/>
      </c>
      <c r="I104" s="181" t="str">
        <f>IF(G104="","",(VLOOKUP(Z104,'Reference List'!$B$3:$F$202,5,FALSE)))</f>
        <v/>
      </c>
      <c r="J104" s="197" t="str">
        <f t="shared" si="3"/>
        <v/>
      </c>
      <c r="K104" s="56"/>
      <c r="L104" s="56"/>
      <c r="M104" s="56"/>
      <c r="Z104" s="203">
        <v>3200540</v>
      </c>
    </row>
    <row r="105" spans="1:26" x14ac:dyDescent="0.25">
      <c r="A105" s="59">
        <v>100</v>
      </c>
      <c r="B105" s="180" t="s">
        <v>260</v>
      </c>
      <c r="C105" s="187">
        <f t="shared" si="2"/>
        <v>43831</v>
      </c>
      <c r="D105" s="56"/>
      <c r="E105" s="56"/>
      <c r="F105" s="56"/>
      <c r="G105" s="56"/>
      <c r="H105" s="180" t="str">
        <f>IF(G105="","",(VLOOKUP(Z105,'Reference List'!$B$3:$D$173,2,FALSE)))</f>
        <v/>
      </c>
      <c r="I105" s="181" t="str">
        <f>IF(G105="","",(VLOOKUP(Z105,'Reference List'!$B$3:$F$202,5,FALSE)))</f>
        <v/>
      </c>
      <c r="J105" s="197" t="str">
        <f t="shared" si="3"/>
        <v/>
      </c>
      <c r="K105" s="56"/>
      <c r="L105" s="56"/>
      <c r="M105" s="56"/>
      <c r="Z105" s="203">
        <v>3200540</v>
      </c>
    </row>
    <row r="106" spans="1:26" x14ac:dyDescent="0.25">
      <c r="E106">
        <f>COUNTA(E7:E16)</f>
        <v>0</v>
      </c>
      <c r="K106">
        <f>SUM(K7:K16)</f>
        <v>0</v>
      </c>
    </row>
  </sheetData>
  <mergeCells count="5">
    <mergeCell ref="K2:L2"/>
    <mergeCell ref="G4:H4"/>
    <mergeCell ref="D6:J6"/>
    <mergeCell ref="K5:L5"/>
    <mergeCell ref="B17:K17"/>
  </mergeCells>
  <conditionalFormatting sqref="G43">
    <cfRule type="cellIs" dxfId="216" priority="37" operator="equal">
      <formula>#N/A</formula>
    </cfRule>
  </conditionalFormatting>
  <conditionalFormatting sqref="G3 G7 G28:G33 G36:G43 G9:G16 G24:G26">
    <cfRule type="cellIs" dxfId="215" priority="36" operator="equal">
      <formula>#N/A</formula>
    </cfRule>
  </conditionalFormatting>
  <conditionalFormatting sqref="G44">
    <cfRule type="cellIs" dxfId="214" priority="35" operator="equal">
      <formula>#N/A</formula>
    </cfRule>
  </conditionalFormatting>
  <conditionalFormatting sqref="F1:F2">
    <cfRule type="cellIs" dxfId="213" priority="34" operator="equal">
      <formula>#N/A</formula>
    </cfRule>
  </conditionalFormatting>
  <conditionalFormatting sqref="G34">
    <cfRule type="cellIs" dxfId="212" priority="29" operator="equal">
      <formula>#N/A</formula>
    </cfRule>
  </conditionalFormatting>
  <conditionalFormatting sqref="G35">
    <cfRule type="cellIs" dxfId="211" priority="27" operator="equal">
      <formula>#N/A</formula>
    </cfRule>
  </conditionalFormatting>
  <conditionalFormatting sqref="M7:M24">
    <cfRule type="cellIs" dxfId="210" priority="24" operator="equal">
      <formula>"DRY"</formula>
    </cfRule>
    <cfRule type="cellIs" dxfId="209" priority="25" operator="equal">
      <formula>"CH"</formula>
    </cfRule>
  </conditionalFormatting>
  <conditionalFormatting sqref="M25:M63 M6">
    <cfRule type="cellIs" dxfId="208" priority="22" operator="equal">
      <formula>"DRY"</formula>
    </cfRule>
    <cfRule type="cellIs" dxfId="207" priority="23" operator="equal">
      <formula>"CHILLER"</formula>
    </cfRule>
  </conditionalFormatting>
  <conditionalFormatting sqref="G5:G6">
    <cfRule type="cellIs" dxfId="206" priority="21" operator="equal">
      <formula>#N/A</formula>
    </cfRule>
  </conditionalFormatting>
  <conditionalFormatting sqref="G27">
    <cfRule type="cellIs" dxfId="205" priority="18" operator="equal">
      <formula>#N/A</formula>
    </cfRule>
  </conditionalFormatting>
  <conditionalFormatting sqref="G8">
    <cfRule type="cellIs" dxfId="204" priority="19" operator="equal">
      <formula>#N/A</formula>
    </cfRule>
  </conditionalFormatting>
  <conditionalFormatting sqref="G18:G23">
    <cfRule type="cellIs" dxfId="203" priority="17" operator="equal">
      <formula>#N/A</formula>
    </cfRule>
  </conditionalFormatting>
  <conditionalFormatting sqref="H7:H16 H18:H105">
    <cfRule type="cellIs" dxfId="202" priority="9" operator="equal">
      <formula>"Return"</formula>
    </cfRule>
    <cfRule type="cellIs" dxfId="201" priority="12" operator="equal">
      <formula>"Customer Pickup"</formula>
    </cfRule>
    <cfRule type="cellIs" dxfId="200" priority="13" operator="equal">
      <formula>"Bluestar Logistics"</formula>
    </cfRule>
  </conditionalFormatting>
  <conditionalFormatting sqref="B17">
    <cfRule type="cellIs" dxfId="199" priority="2" operator="equal">
      <formula>"Return"</formula>
    </cfRule>
    <cfRule type="cellIs" dxfId="198" priority="3" operator="equal">
      <formula>"Customer Pickup"</formula>
    </cfRule>
    <cfRule type="cellIs" dxfId="197" priority="4" operator="equal">
      <formula>"Bluestar Logistics"</formula>
    </cfRule>
  </conditionalFormatting>
  <conditionalFormatting sqref="E18:E105">
    <cfRule type="duplicateValues" dxfId="196" priority="1"/>
  </conditionalFormatting>
  <dataValidations count="1">
    <dataValidation type="list" allowBlank="1" showInputMessage="1" showErrorMessage="1" sqref="M6:M57" xr:uid="{00000000-0002-0000-0300-000000000000}">
      <formula1>TEMP</formula1>
    </dataValidation>
  </dataValidations>
  <pageMargins left="1" right="1" top="1" bottom="1" header="0.5" footer="0.5"/>
  <pageSetup paperSize="9" scale="73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Print_CoverSheet.Print_CoverSheet">
                <anchor moveWithCells="1" sizeWithCells="1">
                  <from>
                    <xdr:col>12</xdr:col>
                    <xdr:colOff>0</xdr:colOff>
                    <xdr:row>1</xdr:row>
                    <xdr:rowOff>504825</xdr:rowOff>
                  </from>
                  <to>
                    <xdr:col>14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BillofLading.BillofLading">
                <anchor moveWithCells="1" sizeWithCells="1">
                  <from>
                    <xdr:col>9</xdr:col>
                    <xdr:colOff>2438400</xdr:colOff>
                    <xdr:row>22</xdr:row>
                    <xdr:rowOff>0</xdr:rowOff>
                  </from>
                  <to>
                    <xdr:col>10</xdr:col>
                    <xdr:colOff>1247775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Ship_Pickup">
                <anchor moveWithCells="1" sizeWithCells="1">
                  <from>
                    <xdr:col>11</xdr:col>
                    <xdr:colOff>9525</xdr:colOff>
                    <xdr:row>6</xdr:row>
                    <xdr:rowOff>9525</xdr:rowOff>
                  </from>
                  <to>
                    <xdr:col>11</xdr:col>
                    <xdr:colOff>1352550</xdr:colOff>
                    <xdr:row>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7" name="Button 5">
              <controlPr defaultSize="0" print="0" autoFill="0" autoPict="0" macro="[0]!Ship_Bluestar">
                <anchor moveWithCells="1" sizeWithCells="1">
                  <from>
                    <xdr:col>9</xdr:col>
                    <xdr:colOff>2438400</xdr:colOff>
                    <xdr:row>24</xdr:row>
                    <xdr:rowOff>0</xdr:rowOff>
                  </from>
                  <to>
                    <xdr:col>10</xdr:col>
                    <xdr:colOff>1247775</xdr:colOff>
                    <xdr:row>25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8" name="Button 6">
              <controlPr defaultSize="0" print="0" autoFill="0" autoPict="0" macro="[0]!Open_Delivery_List">
                <anchor moveWithCells="1" sizeWithCells="1">
                  <from>
                    <xdr:col>10</xdr:col>
                    <xdr:colOff>1247775</xdr:colOff>
                    <xdr:row>22</xdr:row>
                    <xdr:rowOff>0</xdr:rowOff>
                  </from>
                  <to>
                    <xdr:col>11</xdr:col>
                    <xdr:colOff>1362075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>
    <pageSetUpPr fitToPage="1"/>
  </sheetPr>
  <dimension ref="A1:Z106"/>
  <sheetViews>
    <sheetView topLeftCell="A2" zoomScaleNormal="100" zoomScaleSheetLayoutView="100" workbookViewId="0">
      <pane ySplit="4" topLeftCell="A6" activePane="bottomLeft" state="frozen"/>
      <selection activeCell="G31" sqref="G31"/>
      <selection pane="bottomLeft" activeCell="G31" sqref="G31"/>
    </sheetView>
  </sheetViews>
  <sheetFormatPr defaultRowHeight="15" x14ac:dyDescent="0.25"/>
  <cols>
    <col min="1" max="1" width="0.28515625" customWidth="1"/>
    <col min="2" max="2" width="9.42578125" customWidth="1"/>
    <col min="3" max="3" width="12.140625" customWidth="1"/>
    <col min="4" max="4" width="12.85546875" customWidth="1"/>
    <col min="5" max="5" width="13" customWidth="1"/>
    <col min="6" max="6" width="16.140625" customWidth="1"/>
    <col min="7" max="7" width="42.140625" customWidth="1"/>
    <col min="8" max="8" width="22.28515625" style="152" customWidth="1"/>
    <col min="9" max="9" width="11.85546875" customWidth="1"/>
    <col min="10" max="10" width="31.42578125" customWidth="1"/>
    <col min="11" max="11" width="19.140625" customWidth="1"/>
    <col min="12" max="12" width="22.42578125" customWidth="1"/>
    <col min="13" max="13" width="0" hidden="1" customWidth="1"/>
    <col min="14" max="14" width="19.5703125" customWidth="1"/>
    <col min="26" max="26" width="0" hidden="1" customWidth="1"/>
  </cols>
  <sheetData>
    <row r="1" spans="1:26" ht="36.75" hidden="1" customHeight="1" thickBot="1" x14ac:dyDescent="0.3">
      <c r="A1" s="1"/>
      <c r="B1" s="1"/>
      <c r="C1" s="1"/>
      <c r="D1" s="1"/>
      <c r="E1" s="2"/>
      <c r="F1" s="1"/>
      <c r="G1" s="1"/>
      <c r="H1" s="3"/>
      <c r="I1" s="1"/>
      <c r="J1" s="4"/>
      <c r="K1" s="4"/>
      <c r="L1" s="4"/>
    </row>
    <row r="2" spans="1:26" ht="66.75" customHeight="1" thickBot="1" x14ac:dyDescent="0.55000000000000004">
      <c r="A2" s="30"/>
      <c r="B2" s="86"/>
      <c r="C2" s="30"/>
      <c r="D2" s="87"/>
      <c r="E2" s="148" t="s">
        <v>11</v>
      </c>
      <c r="F2" s="30"/>
      <c r="G2" s="30"/>
      <c r="H2" s="150"/>
      <c r="I2" s="159" t="s">
        <v>23</v>
      </c>
      <c r="J2" s="157">
        <f>Monday!J2</f>
        <v>43835</v>
      </c>
      <c r="K2" s="252">
        <f>J2-3</f>
        <v>43832</v>
      </c>
      <c r="L2" s="253"/>
    </row>
    <row r="3" spans="1:26" ht="15.75" hidden="1" thickBot="1" x14ac:dyDescent="0.3">
      <c r="A3" s="94"/>
      <c r="B3" s="102"/>
      <c r="C3" s="102"/>
      <c r="D3" s="103"/>
      <c r="E3" s="95"/>
      <c r="F3" s="95"/>
      <c r="G3" s="95"/>
      <c r="H3" s="151"/>
      <c r="I3" s="95"/>
      <c r="J3" s="95"/>
      <c r="K3" s="95"/>
      <c r="L3" s="95"/>
    </row>
    <row r="4" spans="1:26" ht="24" hidden="1" customHeight="1" thickBot="1" x14ac:dyDescent="0.4">
      <c r="A4" s="67"/>
      <c r="B4" s="63"/>
      <c r="C4" s="64"/>
      <c r="D4" s="65"/>
      <c r="E4" s="69"/>
      <c r="F4" s="70"/>
      <c r="G4" s="251"/>
      <c r="H4" s="243"/>
      <c r="I4" s="65"/>
      <c r="J4" s="65"/>
      <c r="K4" s="65"/>
      <c r="L4" s="65"/>
    </row>
    <row r="5" spans="1:26" ht="23.25" customHeight="1" thickBot="1" x14ac:dyDescent="0.3">
      <c r="A5" s="98"/>
      <c r="B5" s="99" t="s">
        <v>0</v>
      </c>
      <c r="C5" s="99" t="s">
        <v>1</v>
      </c>
      <c r="D5" s="99" t="s">
        <v>26</v>
      </c>
      <c r="E5" s="99" t="s">
        <v>2</v>
      </c>
      <c r="F5" s="99" t="s">
        <v>14</v>
      </c>
      <c r="G5" s="99" t="s">
        <v>455</v>
      </c>
      <c r="H5" s="99" t="s">
        <v>461</v>
      </c>
      <c r="I5" s="99" t="s">
        <v>3</v>
      </c>
      <c r="J5" s="99" t="s">
        <v>517</v>
      </c>
      <c r="K5" s="249" t="s">
        <v>522</v>
      </c>
      <c r="L5" s="250"/>
    </row>
    <row r="6" spans="1:26" ht="15.75" thickBot="1" x14ac:dyDescent="0.3">
      <c r="A6" s="160">
        <v>30</v>
      </c>
      <c r="B6" s="183"/>
      <c r="C6" s="189"/>
      <c r="D6" s="244" t="s">
        <v>518</v>
      </c>
      <c r="E6" s="245"/>
      <c r="F6" s="245"/>
      <c r="G6" s="245"/>
      <c r="H6" s="245"/>
      <c r="I6" s="245"/>
      <c r="J6" s="246"/>
      <c r="K6" s="194" t="s">
        <v>523</v>
      </c>
      <c r="L6" s="190"/>
      <c r="Z6" s="203">
        <v>3200543</v>
      </c>
    </row>
    <row r="7" spans="1:26" x14ac:dyDescent="0.25">
      <c r="A7" s="59">
        <v>1</v>
      </c>
      <c r="B7" s="60" t="s">
        <v>261</v>
      </c>
      <c r="C7" s="68">
        <f>Monday!C7+3</f>
        <v>43832</v>
      </c>
      <c r="D7" s="180"/>
      <c r="E7" s="180"/>
      <c r="F7" s="180"/>
      <c r="G7" s="180"/>
      <c r="H7" s="180" t="str">
        <f>IF(G7="","",(VLOOKUP(Z7,'Reference List'!$B$3:$D$173,2,FALSE)))</f>
        <v/>
      </c>
      <c r="I7" s="181" t="str">
        <f>IF(G7="","",(VLOOKUP(Z7,'Reference List'!$B$3:$F$202,5,FALSE)))</f>
        <v/>
      </c>
      <c r="J7" s="180"/>
      <c r="K7" s="180"/>
      <c r="L7" s="180"/>
      <c r="Z7" s="203">
        <v>3200543</v>
      </c>
    </row>
    <row r="8" spans="1:26" x14ac:dyDescent="0.25">
      <c r="A8" s="47">
        <v>2</v>
      </c>
      <c r="B8" s="60" t="s">
        <v>262</v>
      </c>
      <c r="C8" s="54">
        <f>+C7</f>
        <v>43832</v>
      </c>
      <c r="D8" s="180"/>
      <c r="E8" s="180"/>
      <c r="F8" s="180"/>
      <c r="G8" s="180"/>
      <c r="H8" s="180" t="str">
        <f>IF(G8="","",(VLOOKUP(Z8,'Reference List'!$B$3:$D$173,2,FALSE)))</f>
        <v/>
      </c>
      <c r="I8" s="181" t="str">
        <f>IF(G8="","",(VLOOKUP(Z8,'Reference List'!$B$3:$F$202,5,FALSE)))</f>
        <v/>
      </c>
      <c r="J8" s="180"/>
      <c r="K8" s="180"/>
      <c r="L8" s="180"/>
      <c r="Z8" s="203">
        <v>3200543</v>
      </c>
    </row>
    <row r="9" spans="1:26" x14ac:dyDescent="0.25">
      <c r="A9" s="59">
        <v>3</v>
      </c>
      <c r="B9" s="60" t="s">
        <v>263</v>
      </c>
      <c r="C9" s="54">
        <f>+C8</f>
        <v>43832</v>
      </c>
      <c r="D9" s="180"/>
      <c r="E9" s="180"/>
      <c r="F9" s="180"/>
      <c r="G9" s="180"/>
      <c r="H9" s="180" t="str">
        <f>IF(G9="","",(VLOOKUP(Z9,'Reference List'!$B$3:$D$173,2,FALSE)))</f>
        <v/>
      </c>
      <c r="I9" s="181" t="str">
        <f>IF(G9="","",(VLOOKUP(Z9,'Reference List'!$B$3:$F$202,5,FALSE)))</f>
        <v/>
      </c>
      <c r="J9" s="180"/>
      <c r="K9" s="180"/>
      <c r="L9" s="180"/>
      <c r="Z9" s="203">
        <v>3200543</v>
      </c>
    </row>
    <row r="10" spans="1:26" x14ac:dyDescent="0.25">
      <c r="A10" s="59">
        <v>4</v>
      </c>
      <c r="B10" s="60" t="s">
        <v>264</v>
      </c>
      <c r="C10" s="54">
        <f t="shared" ref="C10:C24" si="0">+C9</f>
        <v>43832</v>
      </c>
      <c r="D10" s="180"/>
      <c r="E10" s="180"/>
      <c r="F10" s="180"/>
      <c r="G10" s="180"/>
      <c r="H10" s="180" t="str">
        <f>IF(G10="","",(VLOOKUP(Z10,'Reference List'!$B$3:$D$173,2,FALSE)))</f>
        <v/>
      </c>
      <c r="I10" s="181" t="str">
        <f>IF(G10="","",(VLOOKUP(Z10,'Reference List'!$B$3:$F$202,5,FALSE)))</f>
        <v/>
      </c>
      <c r="J10" s="180"/>
      <c r="K10" s="180"/>
      <c r="L10" s="182"/>
      <c r="Z10" s="203">
        <v>3200543</v>
      </c>
    </row>
    <row r="11" spans="1:26" x14ac:dyDescent="0.25">
      <c r="A11" s="47">
        <v>5</v>
      </c>
      <c r="B11" s="60" t="s">
        <v>265</v>
      </c>
      <c r="C11" s="54">
        <f t="shared" si="0"/>
        <v>43832</v>
      </c>
      <c r="D11" s="180"/>
      <c r="E11" s="180"/>
      <c r="F11" s="180"/>
      <c r="G11" s="180"/>
      <c r="H11" s="180" t="str">
        <f>IF(G11="","",(VLOOKUP(Z11,'Reference List'!$B$3:$D$173,2,FALSE)))</f>
        <v/>
      </c>
      <c r="I11" s="181" t="str">
        <f>IF(G11="","",(VLOOKUP(Z11,'Reference List'!$B$3:$F$202,5,FALSE)))</f>
        <v/>
      </c>
      <c r="J11" s="180"/>
      <c r="K11" s="180"/>
      <c r="L11" s="180"/>
      <c r="Z11" s="203">
        <v>3200543</v>
      </c>
    </row>
    <row r="12" spans="1:26" x14ac:dyDescent="0.25">
      <c r="A12" s="47">
        <v>6</v>
      </c>
      <c r="B12" s="60" t="s">
        <v>266</v>
      </c>
      <c r="C12" s="54">
        <f t="shared" si="0"/>
        <v>43832</v>
      </c>
      <c r="D12" s="180"/>
      <c r="E12" s="180"/>
      <c r="F12" s="180"/>
      <c r="G12" s="180"/>
      <c r="H12" s="180" t="str">
        <f>IF(G12="","",(VLOOKUP(Z12,'Reference List'!$B$3:$D$173,2,FALSE)))</f>
        <v/>
      </c>
      <c r="I12" s="181" t="str">
        <f>IF(G12="","",(VLOOKUP(Z12,'Reference List'!$B$3:$F$202,5,FALSE)))</f>
        <v/>
      </c>
      <c r="J12" s="180"/>
      <c r="K12" s="180"/>
      <c r="L12" s="182"/>
      <c r="Z12" s="203">
        <v>3200543</v>
      </c>
    </row>
    <row r="13" spans="1:26" x14ac:dyDescent="0.25">
      <c r="A13" s="59">
        <v>7</v>
      </c>
      <c r="B13" s="60" t="s">
        <v>267</v>
      </c>
      <c r="C13" s="54">
        <f t="shared" si="0"/>
        <v>43832</v>
      </c>
      <c r="D13" s="180"/>
      <c r="E13" s="180"/>
      <c r="F13" s="180"/>
      <c r="G13" s="180"/>
      <c r="H13" s="180" t="str">
        <f>IF(G13="","",(VLOOKUP(Z13,'Reference List'!$B$3:$D$173,2,FALSE)))</f>
        <v/>
      </c>
      <c r="I13" s="181" t="str">
        <f>IF(G13="","",(VLOOKUP(Z13,'Reference List'!$B$3:$F$202,5,FALSE)))</f>
        <v/>
      </c>
      <c r="J13" s="180"/>
      <c r="K13" s="180"/>
      <c r="L13" s="182"/>
      <c r="Z13" s="203">
        <v>3200543</v>
      </c>
    </row>
    <row r="14" spans="1:26" x14ac:dyDescent="0.25">
      <c r="A14" s="59">
        <v>8</v>
      </c>
      <c r="B14" s="60" t="s">
        <v>268</v>
      </c>
      <c r="C14" s="54">
        <f t="shared" si="0"/>
        <v>43832</v>
      </c>
      <c r="D14" s="180"/>
      <c r="E14" s="180"/>
      <c r="F14" s="180"/>
      <c r="G14" s="180"/>
      <c r="H14" s="180" t="str">
        <f>IF(G14="","",(VLOOKUP(Z14,'Reference List'!$B$3:$D$173,2,FALSE)))</f>
        <v/>
      </c>
      <c r="I14" s="181" t="str">
        <f>IF(G14="","",(VLOOKUP(Z14,'Reference List'!$B$3:$F$202,5,FALSE)))</f>
        <v/>
      </c>
      <c r="J14" s="180"/>
      <c r="K14" s="180"/>
      <c r="L14" s="182"/>
      <c r="Z14" s="203">
        <v>3200543</v>
      </c>
    </row>
    <row r="15" spans="1:26" x14ac:dyDescent="0.25">
      <c r="A15" s="47">
        <v>9</v>
      </c>
      <c r="B15" s="60" t="s">
        <v>269</v>
      </c>
      <c r="C15" s="54">
        <f t="shared" si="0"/>
        <v>43832</v>
      </c>
      <c r="D15" s="180"/>
      <c r="E15" s="180"/>
      <c r="F15" s="180"/>
      <c r="G15" s="180"/>
      <c r="H15" s="180" t="str">
        <f>IF(G15="","",(VLOOKUP(Z15,'Reference List'!$B$3:$D$173,2,FALSE)))</f>
        <v/>
      </c>
      <c r="I15" s="181" t="str">
        <f>IF(G15="","",(VLOOKUP(Z15,'Reference List'!$B$3:$F$202,5,FALSE)))</f>
        <v/>
      </c>
      <c r="J15" s="180"/>
      <c r="K15" s="180"/>
      <c r="L15" s="182"/>
      <c r="Z15" s="203">
        <v>3200543</v>
      </c>
    </row>
    <row r="16" spans="1:26" ht="15.75" thickBot="1" x14ac:dyDescent="0.3">
      <c r="A16" s="47">
        <v>10</v>
      </c>
      <c r="B16" s="60" t="s">
        <v>270</v>
      </c>
      <c r="C16" s="54">
        <f t="shared" si="0"/>
        <v>43832</v>
      </c>
      <c r="D16" s="180"/>
      <c r="E16" s="180"/>
      <c r="F16" s="180"/>
      <c r="G16" s="180"/>
      <c r="H16" s="180" t="str">
        <f>IF(G16="","",(VLOOKUP(Z16,'Reference List'!$B$3:$D$173,2,FALSE)))</f>
        <v/>
      </c>
      <c r="I16" s="181" t="str">
        <f>IF(G16="","",(VLOOKUP(Z16,'Reference List'!$B$3:$F$202,5,FALSE)))</f>
        <v/>
      </c>
      <c r="J16" s="180"/>
      <c r="K16" s="180"/>
      <c r="L16" s="182"/>
      <c r="Z16" s="203">
        <v>3200543</v>
      </c>
    </row>
    <row r="17" spans="1:26" ht="15.75" thickBot="1" x14ac:dyDescent="0.3">
      <c r="A17" s="59">
        <v>11</v>
      </c>
      <c r="B17" s="237" t="s">
        <v>529</v>
      </c>
      <c r="C17" s="238"/>
      <c r="D17" s="238"/>
      <c r="E17" s="238"/>
      <c r="F17" s="238"/>
      <c r="G17" s="238"/>
      <c r="H17" s="238"/>
      <c r="I17" s="238"/>
      <c r="J17" s="238"/>
      <c r="K17" s="238"/>
      <c r="L17" s="261">
        <f>COUNTA(D18:D105)</f>
        <v>0</v>
      </c>
      <c r="Z17" s="203">
        <v>3200543</v>
      </c>
    </row>
    <row r="18" spans="1:26" x14ac:dyDescent="0.25">
      <c r="A18" s="59">
        <v>12</v>
      </c>
      <c r="B18" s="180" t="s">
        <v>271</v>
      </c>
      <c r="C18" s="187">
        <f>+C16</f>
        <v>43832</v>
      </c>
      <c r="D18" s="180"/>
      <c r="E18" s="180"/>
      <c r="F18" s="180"/>
      <c r="G18" s="180"/>
      <c r="H18" s="180" t="str">
        <f>IF(G18="","",(VLOOKUP(Z18,'Reference List'!$B$3:$D$173,2,FALSE)))</f>
        <v/>
      </c>
      <c r="I18" s="181" t="str">
        <f>IF(G18="","",(VLOOKUP(Z18,'Reference List'!$B$3:$F$202,5,FALSE)))</f>
        <v/>
      </c>
      <c r="J18" s="197" t="str">
        <f>IF(LEFT(G18,8)="BUNNINGS","Loscam pallets only",IF(G18="MM ELECTRICAL BIBRA LAKE WA","Plain pallets only",""))</f>
        <v/>
      </c>
      <c r="K18" s="206" t="s">
        <v>519</v>
      </c>
      <c r="L18" s="208"/>
      <c r="Z18" s="203">
        <v>3200540</v>
      </c>
    </row>
    <row r="19" spans="1:26" x14ac:dyDescent="0.25">
      <c r="A19" s="47">
        <v>13</v>
      </c>
      <c r="B19" s="180" t="s">
        <v>272</v>
      </c>
      <c r="C19" s="187">
        <f t="shared" si="0"/>
        <v>43832</v>
      </c>
      <c r="D19" s="180"/>
      <c r="E19" s="180"/>
      <c r="F19" s="180"/>
      <c r="G19" s="180"/>
      <c r="H19" s="180" t="str">
        <f>IF(G19="","",(VLOOKUP(Z19,'Reference List'!$B$3:$D$173,2,FALSE)))</f>
        <v/>
      </c>
      <c r="I19" s="181" t="str">
        <f>IF(G19="","",(VLOOKUP(Z19,'Reference List'!$B$3:$F$202,5,FALSE)))</f>
        <v/>
      </c>
      <c r="J19" s="197" t="str">
        <f t="shared" ref="J19:J82" si="1">IF(LEFT(G19,8)="BUNNINGS","Loscam pallets only",IF(G19="MM ELECTRICAL BIBRA LAKE WA","Plain pallets only",""))</f>
        <v/>
      </c>
      <c r="K19" s="207" t="s">
        <v>520</v>
      </c>
      <c r="L19" s="209"/>
      <c r="Z19" s="203">
        <v>3200540</v>
      </c>
    </row>
    <row r="20" spans="1:26" x14ac:dyDescent="0.25">
      <c r="A20" s="47">
        <v>14</v>
      </c>
      <c r="B20" s="180" t="s">
        <v>273</v>
      </c>
      <c r="C20" s="187">
        <f t="shared" si="0"/>
        <v>43832</v>
      </c>
      <c r="D20" s="180"/>
      <c r="E20" s="180"/>
      <c r="F20" s="180"/>
      <c r="G20" s="180" t="str">
        <f>IF(F20="","",(VLOOKUP(F20,'Reference List'!$B$3:$D$173,2,FALSE)))</f>
        <v/>
      </c>
      <c r="H20" s="180" t="str">
        <f>IF(G20="","",(VLOOKUP(Z20,'Reference List'!$B$3:$D$173,2,FALSE)))</f>
        <v/>
      </c>
      <c r="I20" s="181" t="str">
        <f>IF(G20="","",(VLOOKUP(Z20,'Reference List'!$B$3:$F$202,5,FALSE)))</f>
        <v/>
      </c>
      <c r="J20" s="197" t="str">
        <f t="shared" si="1"/>
        <v/>
      </c>
      <c r="K20" s="207" t="s">
        <v>521</v>
      </c>
      <c r="L20" s="209"/>
      <c r="Z20" s="203">
        <v>3200540</v>
      </c>
    </row>
    <row r="21" spans="1:26" x14ac:dyDescent="0.25">
      <c r="A21" s="59">
        <v>15</v>
      </c>
      <c r="B21" s="180" t="s">
        <v>274</v>
      </c>
      <c r="C21" s="187">
        <f t="shared" si="0"/>
        <v>43832</v>
      </c>
      <c r="D21" s="180"/>
      <c r="E21" s="180"/>
      <c r="F21" s="180"/>
      <c r="G21" s="180"/>
      <c r="H21" s="180" t="str">
        <f>IF(G21="","",(VLOOKUP(Z21,'Reference List'!$B$3:$D$173,2,FALSE)))</f>
        <v/>
      </c>
      <c r="I21" s="181" t="str">
        <f>IF(G21="","",(VLOOKUP(Z21,'Reference List'!$B$3:$F$202,5,FALSE)))</f>
        <v/>
      </c>
      <c r="J21" s="197" t="str">
        <f t="shared" si="1"/>
        <v/>
      </c>
      <c r="K21" s="207" t="s">
        <v>554</v>
      </c>
      <c r="L21" s="209"/>
      <c r="Z21" s="203">
        <v>3200540</v>
      </c>
    </row>
    <row r="22" spans="1:26" ht="15.75" thickBot="1" x14ac:dyDescent="0.3">
      <c r="A22" s="59">
        <v>16</v>
      </c>
      <c r="B22" s="180" t="s">
        <v>275</v>
      </c>
      <c r="C22" s="187">
        <f t="shared" si="0"/>
        <v>43832</v>
      </c>
      <c r="D22" s="180"/>
      <c r="E22" s="180"/>
      <c r="F22" s="180"/>
      <c r="G22" s="180"/>
      <c r="H22" s="180" t="str">
        <f>IF(G22="","",(VLOOKUP(Z22,'Reference List'!$B$3:$D$173,2,FALSE)))</f>
        <v/>
      </c>
      <c r="I22" s="181" t="str">
        <f>IF(G22="","",(VLOOKUP(Z22,'Reference List'!$B$3:$F$202,5,FALSE)))</f>
        <v/>
      </c>
      <c r="J22" s="197" t="str">
        <f t="shared" si="1"/>
        <v/>
      </c>
      <c r="K22" s="210" t="s">
        <v>555</v>
      </c>
      <c r="L22" s="211"/>
      <c r="Z22" s="203">
        <v>3200540</v>
      </c>
    </row>
    <row r="23" spans="1:26" x14ac:dyDescent="0.25">
      <c r="A23" s="47">
        <v>17</v>
      </c>
      <c r="B23" s="180" t="s">
        <v>276</v>
      </c>
      <c r="C23" s="187">
        <f t="shared" si="0"/>
        <v>43832</v>
      </c>
      <c r="D23" s="180"/>
      <c r="E23" s="180"/>
      <c r="F23" s="180"/>
      <c r="G23" s="180" t="str">
        <f>IF(F23="","",(VLOOKUP(F23,'Reference List'!$B$3:$D$173,2,FALSE)))</f>
        <v/>
      </c>
      <c r="H23" s="180" t="str">
        <f>IF(G23="","",(VLOOKUP(Z23,'Reference List'!$B$3:$D$173,2,FALSE)))</f>
        <v/>
      </c>
      <c r="I23" s="181" t="str">
        <f>IF(G23="","",(VLOOKUP(Z23,'Reference List'!$B$3:$F$202,5,FALSE)))</f>
        <v/>
      </c>
      <c r="J23" s="197" t="str">
        <f t="shared" si="1"/>
        <v/>
      </c>
      <c r="K23" s="205"/>
      <c r="L23" s="205"/>
      <c r="Z23" s="203">
        <v>3200540</v>
      </c>
    </row>
    <row r="24" spans="1:26" x14ac:dyDescent="0.25">
      <c r="A24" s="47">
        <v>18</v>
      </c>
      <c r="B24" s="180" t="s">
        <v>277</v>
      </c>
      <c r="C24" s="187">
        <f t="shared" si="0"/>
        <v>43832</v>
      </c>
      <c r="D24" s="180"/>
      <c r="E24" s="180"/>
      <c r="F24" s="180"/>
      <c r="G24" s="180" t="str">
        <f>IF(F24="","",(VLOOKUP(F24,'Reference List'!$B$3:$D$173,2,FALSE)))</f>
        <v/>
      </c>
      <c r="H24" s="180" t="str">
        <f>IF(G24="","",(VLOOKUP(Z24,'Reference List'!$B$3:$D$173,2,FALSE)))</f>
        <v/>
      </c>
      <c r="I24" s="181" t="str">
        <f>IF(G24="","",(VLOOKUP(Z24,'Reference List'!$B$3:$F$202,5,FALSE)))</f>
        <v/>
      </c>
      <c r="J24" s="197" t="str">
        <f t="shared" si="1"/>
        <v/>
      </c>
      <c r="K24" s="180"/>
      <c r="L24" s="180"/>
      <c r="Z24" s="203">
        <v>3200540</v>
      </c>
    </row>
    <row r="25" spans="1:26" x14ac:dyDescent="0.25">
      <c r="A25" s="59">
        <v>19</v>
      </c>
      <c r="B25" s="180" t="s">
        <v>278</v>
      </c>
      <c r="C25" s="187">
        <f>+C24</f>
        <v>43832</v>
      </c>
      <c r="D25" s="180"/>
      <c r="E25" s="180"/>
      <c r="F25" s="180"/>
      <c r="G25" s="180"/>
      <c r="H25" s="180" t="str">
        <f>IF(G25="","",(VLOOKUP(Z25,'Reference List'!$B$3:$D$173,2,FALSE)))</f>
        <v/>
      </c>
      <c r="I25" s="181" t="str">
        <f>IF(G25="","",(VLOOKUP(Z25,'Reference List'!$B$3:$F$202,5,FALSE)))</f>
        <v/>
      </c>
      <c r="J25" s="197" t="str">
        <f t="shared" si="1"/>
        <v/>
      </c>
      <c r="K25" s="180"/>
      <c r="L25" s="180"/>
      <c r="Z25" s="203">
        <v>3200540</v>
      </c>
    </row>
    <row r="26" spans="1:26" x14ac:dyDescent="0.25">
      <c r="A26" s="59">
        <v>20</v>
      </c>
      <c r="B26" s="180" t="s">
        <v>279</v>
      </c>
      <c r="C26" s="187">
        <f>+C25</f>
        <v>43832</v>
      </c>
      <c r="D26" s="180"/>
      <c r="E26" s="180"/>
      <c r="F26" s="180"/>
      <c r="G26" s="180"/>
      <c r="H26" s="180" t="str">
        <f>IF(G26="","",(VLOOKUP(Z26,'Reference List'!$B$3:$D$173,2,FALSE)))</f>
        <v/>
      </c>
      <c r="I26" s="181" t="str">
        <f>IF(G26="","",(VLOOKUP(Z26,'Reference List'!$B$3:$F$202,5,FALSE)))</f>
        <v/>
      </c>
      <c r="J26" s="197" t="str">
        <f t="shared" si="1"/>
        <v/>
      </c>
      <c r="K26" s="180"/>
      <c r="L26" s="182"/>
      <c r="Z26" s="203">
        <v>3200540</v>
      </c>
    </row>
    <row r="27" spans="1:26" x14ac:dyDescent="0.25">
      <c r="A27" s="47">
        <v>21</v>
      </c>
      <c r="B27" s="180" t="s">
        <v>280</v>
      </c>
      <c r="C27" s="187">
        <f t="shared" ref="C27:C90" si="2">+C26</f>
        <v>43832</v>
      </c>
      <c r="D27" s="180"/>
      <c r="E27" s="180"/>
      <c r="F27" s="180"/>
      <c r="G27" s="180"/>
      <c r="H27" s="180" t="str">
        <f>IF(G27="","",(VLOOKUP(Z27,'Reference List'!$B$3:$D$173,2,FALSE)))</f>
        <v/>
      </c>
      <c r="I27" s="181" t="str">
        <f>IF(G27="","",(VLOOKUP(Z27,'Reference List'!$B$3:$F$202,5,FALSE)))</f>
        <v/>
      </c>
      <c r="J27" s="197" t="str">
        <f t="shared" si="1"/>
        <v/>
      </c>
      <c r="K27" s="180"/>
      <c r="L27" s="180"/>
      <c r="Z27" s="203">
        <v>3200540</v>
      </c>
    </row>
    <row r="28" spans="1:26" x14ac:dyDescent="0.25">
      <c r="A28" s="47">
        <v>22</v>
      </c>
      <c r="B28" s="180" t="s">
        <v>281</v>
      </c>
      <c r="C28" s="187">
        <f t="shared" si="2"/>
        <v>43832</v>
      </c>
      <c r="D28" s="180"/>
      <c r="E28" s="180"/>
      <c r="F28" s="180"/>
      <c r="G28" s="180"/>
      <c r="H28" s="180" t="str">
        <f>IF(G28="","",(VLOOKUP(Z28,'Reference List'!$B$3:$D$173,2,FALSE)))</f>
        <v/>
      </c>
      <c r="I28" s="181" t="str">
        <f>IF(G28="","",(VLOOKUP(Z28,'Reference List'!$B$3:$F$202,5,FALSE)))</f>
        <v/>
      </c>
      <c r="J28" s="197" t="str">
        <f t="shared" si="1"/>
        <v/>
      </c>
      <c r="K28" s="180"/>
      <c r="L28" s="180"/>
      <c r="Z28" s="203">
        <v>3200540</v>
      </c>
    </row>
    <row r="29" spans="1:26" x14ac:dyDescent="0.25">
      <c r="A29" s="59">
        <v>23</v>
      </c>
      <c r="B29" s="180" t="s">
        <v>282</v>
      </c>
      <c r="C29" s="187">
        <f t="shared" si="2"/>
        <v>43832</v>
      </c>
      <c r="D29" s="180"/>
      <c r="E29" s="180"/>
      <c r="F29" s="180"/>
      <c r="G29" s="180"/>
      <c r="H29" s="180" t="str">
        <f>IF(G29="","",(VLOOKUP(Z29,'Reference List'!$B$3:$D$173,2,FALSE)))</f>
        <v/>
      </c>
      <c r="I29" s="181" t="str">
        <f>IF(G29="","",(VLOOKUP(Z29,'Reference List'!$B$3:$F$202,5,FALSE)))</f>
        <v/>
      </c>
      <c r="J29" s="197" t="str">
        <f t="shared" si="1"/>
        <v/>
      </c>
      <c r="K29" s="180"/>
      <c r="L29" s="180"/>
      <c r="Z29" s="203">
        <v>3200540</v>
      </c>
    </row>
    <row r="30" spans="1:26" x14ac:dyDescent="0.25">
      <c r="A30" s="47">
        <v>24</v>
      </c>
      <c r="B30" s="180" t="s">
        <v>283</v>
      </c>
      <c r="C30" s="187">
        <f t="shared" si="2"/>
        <v>43832</v>
      </c>
      <c r="D30" s="180"/>
      <c r="E30" s="180"/>
      <c r="F30" s="180"/>
      <c r="G30" s="180"/>
      <c r="H30" s="180" t="str">
        <f>IF(G30="","",(VLOOKUP(Z30,'Reference List'!$B$3:$D$173,2,FALSE)))</f>
        <v/>
      </c>
      <c r="I30" s="181" t="str">
        <f>IF(G30="","",(VLOOKUP(Z30,'Reference List'!$B$3:$F$202,5,FALSE)))</f>
        <v/>
      </c>
      <c r="J30" s="197" t="str">
        <f t="shared" si="1"/>
        <v/>
      </c>
      <c r="K30" s="180"/>
      <c r="L30" s="180"/>
      <c r="Z30" s="203">
        <v>3200540</v>
      </c>
    </row>
    <row r="31" spans="1:26" x14ac:dyDescent="0.25">
      <c r="A31" s="47">
        <v>25</v>
      </c>
      <c r="B31" s="180" t="s">
        <v>284</v>
      </c>
      <c r="C31" s="187">
        <f t="shared" si="2"/>
        <v>43832</v>
      </c>
      <c r="D31" s="180"/>
      <c r="E31" s="180"/>
      <c r="F31" s="180"/>
      <c r="G31" s="180"/>
      <c r="H31" s="180" t="str">
        <f>IF(G31="","",(VLOOKUP(Z31,'Reference List'!$B$3:$D$173,2,FALSE)))</f>
        <v/>
      </c>
      <c r="I31" s="181" t="str">
        <f>IF(G31="","",(VLOOKUP(Z31,'Reference List'!$B$3:$F$202,5,FALSE)))</f>
        <v/>
      </c>
      <c r="J31" s="197" t="str">
        <f t="shared" si="1"/>
        <v/>
      </c>
      <c r="K31" s="180"/>
      <c r="L31" s="180"/>
      <c r="Z31" s="203">
        <v>3200540</v>
      </c>
    </row>
    <row r="32" spans="1:26" x14ac:dyDescent="0.25">
      <c r="A32" s="59">
        <v>26</v>
      </c>
      <c r="B32" s="180" t="s">
        <v>285</v>
      </c>
      <c r="C32" s="187">
        <f t="shared" si="2"/>
        <v>43832</v>
      </c>
      <c r="D32" s="180"/>
      <c r="E32" s="180"/>
      <c r="F32" s="180"/>
      <c r="G32" s="180"/>
      <c r="H32" s="180" t="str">
        <f>IF(G32="","",(VLOOKUP(Z32,'Reference List'!$B$3:$D$173,2,FALSE)))</f>
        <v/>
      </c>
      <c r="I32" s="181" t="str">
        <f>IF(G32="","",(VLOOKUP(Z32,'Reference List'!$B$3:$F$202,5,FALSE)))</f>
        <v/>
      </c>
      <c r="J32" s="197" t="str">
        <f t="shared" si="1"/>
        <v/>
      </c>
      <c r="K32" s="180"/>
      <c r="L32" s="180"/>
      <c r="Z32" s="203">
        <v>3200540</v>
      </c>
    </row>
    <row r="33" spans="1:26" x14ac:dyDescent="0.25">
      <c r="A33" s="47">
        <v>27</v>
      </c>
      <c r="B33" s="180" t="s">
        <v>286</v>
      </c>
      <c r="C33" s="187">
        <f t="shared" si="2"/>
        <v>43832</v>
      </c>
      <c r="D33" s="180"/>
      <c r="E33" s="180"/>
      <c r="F33" s="180"/>
      <c r="G33" s="180"/>
      <c r="H33" s="180" t="str">
        <f>IF(G33="","",(VLOOKUP(Z33,'Reference List'!$B$3:$D$173,2,FALSE)))</f>
        <v/>
      </c>
      <c r="I33" s="181" t="str">
        <f>IF(G33="","",(VLOOKUP(Z33,'Reference List'!$B$3:$F$202,5,FALSE)))</f>
        <v/>
      </c>
      <c r="J33" s="197" t="str">
        <f t="shared" si="1"/>
        <v/>
      </c>
      <c r="K33" s="180"/>
      <c r="L33" s="180"/>
      <c r="Z33" s="203">
        <v>3200540</v>
      </c>
    </row>
    <row r="34" spans="1:26" x14ac:dyDescent="0.25">
      <c r="A34" s="47">
        <v>28</v>
      </c>
      <c r="B34" s="180" t="s">
        <v>287</v>
      </c>
      <c r="C34" s="187">
        <f t="shared" si="2"/>
        <v>43832</v>
      </c>
      <c r="D34" s="180"/>
      <c r="E34" s="180"/>
      <c r="F34" s="180"/>
      <c r="G34" s="180"/>
      <c r="H34" s="180" t="str">
        <f>IF(G34="","",(VLOOKUP(Z34,'Reference List'!$B$3:$D$173,2,FALSE)))</f>
        <v/>
      </c>
      <c r="I34" s="181" t="str">
        <f>IF(G34="","",(VLOOKUP(Z34,'Reference List'!$B$3:$F$202,5,FALSE)))</f>
        <v/>
      </c>
      <c r="J34" s="197" t="str">
        <f t="shared" si="1"/>
        <v/>
      </c>
      <c r="K34" s="180"/>
      <c r="L34" s="180"/>
      <c r="Z34" s="203">
        <v>3200540</v>
      </c>
    </row>
    <row r="35" spans="1:26" x14ac:dyDescent="0.25">
      <c r="A35" s="59">
        <v>29</v>
      </c>
      <c r="B35" s="180" t="s">
        <v>288</v>
      </c>
      <c r="C35" s="187">
        <f t="shared" si="2"/>
        <v>43832</v>
      </c>
      <c r="D35" s="180"/>
      <c r="E35" s="180"/>
      <c r="F35" s="180"/>
      <c r="G35" s="180"/>
      <c r="H35" s="180" t="str">
        <f>IF(G35="","",(VLOOKUP(Z35,'Reference List'!$B$3:$D$173,2,FALSE)))</f>
        <v/>
      </c>
      <c r="I35" s="181" t="str">
        <f>IF(G35="","",(VLOOKUP(Z35,'Reference List'!$B$3:$F$202,5,FALSE)))</f>
        <v/>
      </c>
      <c r="J35" s="197" t="str">
        <f t="shared" si="1"/>
        <v/>
      </c>
      <c r="K35" s="180"/>
      <c r="L35" s="180"/>
      <c r="Z35" s="203">
        <v>3200540</v>
      </c>
    </row>
    <row r="36" spans="1:26" x14ac:dyDescent="0.25">
      <c r="A36" s="47">
        <v>31</v>
      </c>
      <c r="B36" s="180" t="s">
        <v>289</v>
      </c>
      <c r="C36" s="187">
        <f t="shared" si="2"/>
        <v>43832</v>
      </c>
      <c r="D36" s="180"/>
      <c r="E36" s="180"/>
      <c r="F36" s="180"/>
      <c r="G36" s="180"/>
      <c r="H36" s="180" t="str">
        <f>IF(G36="","",(VLOOKUP(Z36,'Reference List'!$B$3:$D$173,2,FALSE)))</f>
        <v/>
      </c>
      <c r="I36" s="181" t="str">
        <f>IF(G36="","",(VLOOKUP(Z36,'Reference List'!$B$3:$F$202,5,FALSE)))</f>
        <v/>
      </c>
      <c r="J36" s="197" t="str">
        <f t="shared" si="1"/>
        <v/>
      </c>
      <c r="K36" s="180"/>
      <c r="L36" s="180"/>
      <c r="Z36" s="203">
        <v>3200540</v>
      </c>
    </row>
    <row r="37" spans="1:26" x14ac:dyDescent="0.25">
      <c r="A37" s="59">
        <v>32</v>
      </c>
      <c r="B37" s="180" t="s">
        <v>290</v>
      </c>
      <c r="C37" s="187">
        <f t="shared" si="2"/>
        <v>43832</v>
      </c>
      <c r="D37" s="180"/>
      <c r="E37" s="180"/>
      <c r="F37" s="180"/>
      <c r="G37" s="180"/>
      <c r="H37" s="180" t="str">
        <f>IF(G37="","",(VLOOKUP(Z37,'Reference List'!$B$3:$D$173,2,FALSE)))</f>
        <v/>
      </c>
      <c r="I37" s="181" t="str">
        <f>IF(G37="","",(VLOOKUP(Z37,'Reference List'!$B$3:$F$202,5,FALSE)))</f>
        <v/>
      </c>
      <c r="J37" s="197" t="str">
        <f t="shared" si="1"/>
        <v/>
      </c>
      <c r="K37" s="180"/>
      <c r="L37" s="180"/>
      <c r="Z37" s="203">
        <v>3200540</v>
      </c>
    </row>
    <row r="38" spans="1:26" x14ac:dyDescent="0.25">
      <c r="A38" s="47">
        <v>33</v>
      </c>
      <c r="B38" s="180" t="s">
        <v>291</v>
      </c>
      <c r="C38" s="187">
        <f t="shared" si="2"/>
        <v>43832</v>
      </c>
      <c r="D38" s="180"/>
      <c r="E38" s="180"/>
      <c r="F38" s="180"/>
      <c r="G38" s="180"/>
      <c r="H38" s="180" t="str">
        <f>IF(G38="","",(VLOOKUP(Z38,'Reference List'!$B$3:$D$173,2,FALSE)))</f>
        <v/>
      </c>
      <c r="I38" s="181" t="str">
        <f>IF(G38="","",(VLOOKUP(Z38,'Reference List'!$B$3:$F$202,5,FALSE)))</f>
        <v/>
      </c>
      <c r="J38" s="197" t="str">
        <f t="shared" si="1"/>
        <v/>
      </c>
      <c r="K38" s="180"/>
      <c r="L38" s="180"/>
      <c r="Z38" s="203">
        <v>3200540</v>
      </c>
    </row>
    <row r="39" spans="1:26" x14ac:dyDescent="0.25">
      <c r="A39" s="47">
        <v>34</v>
      </c>
      <c r="B39" s="180" t="s">
        <v>292</v>
      </c>
      <c r="C39" s="187">
        <f t="shared" si="2"/>
        <v>43832</v>
      </c>
      <c r="D39" s="180"/>
      <c r="E39" s="180"/>
      <c r="F39" s="180"/>
      <c r="G39" s="180"/>
      <c r="H39" s="180" t="str">
        <f>IF(G39="","",(VLOOKUP(Z39,'Reference List'!$B$3:$D$173,2,FALSE)))</f>
        <v/>
      </c>
      <c r="I39" s="181" t="str">
        <f>IF(G39="","",(VLOOKUP(Z39,'Reference List'!$B$3:$F$202,5,FALSE)))</f>
        <v/>
      </c>
      <c r="J39" s="197" t="str">
        <f t="shared" si="1"/>
        <v/>
      </c>
      <c r="K39" s="180"/>
      <c r="L39" s="180"/>
      <c r="Z39" s="203">
        <v>3200540</v>
      </c>
    </row>
    <row r="40" spans="1:26" ht="15" customHeight="1" x14ac:dyDescent="0.25">
      <c r="A40" s="59">
        <v>35</v>
      </c>
      <c r="B40" s="180" t="s">
        <v>293</v>
      </c>
      <c r="C40" s="187">
        <f t="shared" si="2"/>
        <v>43832</v>
      </c>
      <c r="D40" s="180"/>
      <c r="E40" s="180"/>
      <c r="F40" s="180"/>
      <c r="G40" s="180"/>
      <c r="H40" s="180" t="str">
        <f>IF(G40="","",(VLOOKUP(Z40,'Reference List'!$B$3:$D$173,2,FALSE)))</f>
        <v/>
      </c>
      <c r="I40" s="181" t="str">
        <f>IF(G40="","",(VLOOKUP(Z40,'Reference List'!$B$3:$F$202,5,FALSE)))</f>
        <v/>
      </c>
      <c r="J40" s="197" t="str">
        <f t="shared" si="1"/>
        <v/>
      </c>
      <c r="K40" s="180"/>
      <c r="L40" s="180"/>
      <c r="Z40" s="203">
        <v>3200540</v>
      </c>
    </row>
    <row r="41" spans="1:26" x14ac:dyDescent="0.25">
      <c r="A41" s="47">
        <v>36</v>
      </c>
      <c r="B41" s="180" t="s">
        <v>294</v>
      </c>
      <c r="C41" s="187">
        <f t="shared" si="2"/>
        <v>43832</v>
      </c>
      <c r="D41" s="180"/>
      <c r="E41" s="180"/>
      <c r="F41" s="180"/>
      <c r="G41" s="180"/>
      <c r="H41" s="180" t="str">
        <f>IF(G41="","",(VLOOKUP(Z41,'Reference List'!$B$3:$D$173,2,FALSE)))</f>
        <v/>
      </c>
      <c r="I41" s="181" t="str">
        <f>IF(G41="","",(VLOOKUP(Z41,'Reference List'!$B$3:$F$202,5,FALSE)))</f>
        <v/>
      </c>
      <c r="J41" s="197" t="str">
        <f t="shared" si="1"/>
        <v/>
      </c>
      <c r="K41" s="180"/>
      <c r="L41" s="180"/>
      <c r="Z41" s="203">
        <v>3200540</v>
      </c>
    </row>
    <row r="42" spans="1:26" x14ac:dyDescent="0.25">
      <c r="A42" s="47">
        <v>37</v>
      </c>
      <c r="B42" s="180" t="s">
        <v>295</v>
      </c>
      <c r="C42" s="187">
        <f t="shared" si="2"/>
        <v>43832</v>
      </c>
      <c r="D42" s="180"/>
      <c r="E42" s="180"/>
      <c r="F42" s="180"/>
      <c r="G42" s="180"/>
      <c r="H42" s="180" t="str">
        <f>IF(G42="","",(VLOOKUP(Z42,'Reference List'!$B$3:$D$173,2,FALSE)))</f>
        <v/>
      </c>
      <c r="I42" s="181" t="str">
        <f>IF(G42="","",(VLOOKUP(Z42,'Reference List'!$B$3:$F$202,5,FALSE)))</f>
        <v/>
      </c>
      <c r="J42" s="197" t="str">
        <f t="shared" si="1"/>
        <v/>
      </c>
      <c r="K42" s="180"/>
      <c r="L42" s="180"/>
      <c r="Z42" s="203">
        <v>3200540</v>
      </c>
    </row>
    <row r="43" spans="1:26" x14ac:dyDescent="0.25">
      <c r="A43" s="59">
        <v>38</v>
      </c>
      <c r="B43" s="180" t="s">
        <v>296</v>
      </c>
      <c r="C43" s="187">
        <f t="shared" si="2"/>
        <v>43832</v>
      </c>
      <c r="D43" s="180"/>
      <c r="E43" s="180"/>
      <c r="F43" s="180"/>
      <c r="G43" s="180"/>
      <c r="H43" s="180" t="str">
        <f>IF(G43="","",(VLOOKUP(Z43,'Reference List'!$B$3:$D$173,2,FALSE)))</f>
        <v/>
      </c>
      <c r="I43" s="181" t="str">
        <f>IF(G43="","",(VLOOKUP(Z43,'Reference List'!$B$3:$F$202,5,FALSE)))</f>
        <v/>
      </c>
      <c r="J43" s="197" t="str">
        <f t="shared" si="1"/>
        <v/>
      </c>
      <c r="K43" s="180"/>
      <c r="L43" s="182"/>
      <c r="Z43" s="203">
        <v>3200540</v>
      </c>
    </row>
    <row r="44" spans="1:26" x14ac:dyDescent="0.25">
      <c r="A44" s="47">
        <v>39</v>
      </c>
      <c r="B44" s="180" t="s">
        <v>297</v>
      </c>
      <c r="C44" s="187">
        <f t="shared" si="2"/>
        <v>43832</v>
      </c>
      <c r="D44" s="180"/>
      <c r="E44" s="180"/>
      <c r="F44" s="180"/>
      <c r="G44" s="180"/>
      <c r="H44" s="180" t="str">
        <f>IF(G44="","",(VLOOKUP(Z44,'Reference List'!$B$3:$D$173,2,FALSE)))</f>
        <v/>
      </c>
      <c r="I44" s="181" t="str">
        <f>IF(G44="","",(VLOOKUP(Z44,'Reference List'!$B$3:$F$202,5,FALSE)))</f>
        <v/>
      </c>
      <c r="J44" s="197" t="str">
        <f t="shared" si="1"/>
        <v/>
      </c>
      <c r="K44" s="180"/>
      <c r="L44" s="180"/>
      <c r="Z44" s="203">
        <v>3200540</v>
      </c>
    </row>
    <row r="45" spans="1:26" x14ac:dyDescent="0.25">
      <c r="A45" s="47">
        <v>40</v>
      </c>
      <c r="B45" s="180" t="s">
        <v>298</v>
      </c>
      <c r="C45" s="187">
        <f t="shared" si="2"/>
        <v>43832</v>
      </c>
      <c r="D45" s="180"/>
      <c r="E45" s="180"/>
      <c r="F45" s="180"/>
      <c r="G45" s="180"/>
      <c r="H45" s="180" t="str">
        <f>IF(G45="","",(VLOOKUP(Z45,'Reference List'!$B$3:$D$173,2,FALSE)))</f>
        <v/>
      </c>
      <c r="I45" s="181" t="str">
        <f>IF(G45="","",(VLOOKUP(Z45,'Reference List'!$B$3:$F$202,5,FALSE)))</f>
        <v/>
      </c>
      <c r="J45" s="197" t="str">
        <f t="shared" si="1"/>
        <v/>
      </c>
      <c r="K45" s="180"/>
      <c r="L45" s="180"/>
      <c r="Z45" s="203">
        <v>3200540</v>
      </c>
    </row>
    <row r="46" spans="1:26" x14ac:dyDescent="0.25">
      <c r="A46" s="59">
        <v>41</v>
      </c>
      <c r="B46" s="180" t="s">
        <v>299</v>
      </c>
      <c r="C46" s="187">
        <f t="shared" si="2"/>
        <v>43832</v>
      </c>
      <c r="D46" s="180"/>
      <c r="E46" s="180"/>
      <c r="F46" s="180"/>
      <c r="G46" s="180"/>
      <c r="H46" s="180" t="str">
        <f>IF(G46="","",(VLOOKUP(Z46,'Reference List'!$B$3:$D$173,2,FALSE)))</f>
        <v/>
      </c>
      <c r="I46" s="181" t="str">
        <f>IF(G46="","",(VLOOKUP(Z46,'Reference List'!$B$3:$F$202,5,FALSE)))</f>
        <v/>
      </c>
      <c r="J46" s="197" t="str">
        <f t="shared" si="1"/>
        <v/>
      </c>
      <c r="K46" s="180"/>
      <c r="L46" s="180"/>
      <c r="Z46" s="203">
        <v>3200540</v>
      </c>
    </row>
    <row r="47" spans="1:26" x14ac:dyDescent="0.25">
      <c r="A47" s="47">
        <v>42</v>
      </c>
      <c r="B47" s="180" t="s">
        <v>300</v>
      </c>
      <c r="C47" s="187">
        <f t="shared" si="2"/>
        <v>43832</v>
      </c>
      <c r="D47" s="180"/>
      <c r="E47" s="180"/>
      <c r="F47" s="180"/>
      <c r="G47" s="180"/>
      <c r="H47" s="180" t="str">
        <f>IF(G47="","",(VLOOKUP(Z47,'Reference List'!$B$3:$D$173,2,FALSE)))</f>
        <v/>
      </c>
      <c r="I47" s="181" t="str">
        <f>IF(G47="","",(VLOOKUP(Z47,'Reference List'!$B$3:$F$202,5,FALSE)))</f>
        <v/>
      </c>
      <c r="J47" s="197" t="str">
        <f t="shared" si="1"/>
        <v/>
      </c>
      <c r="K47" s="180"/>
      <c r="L47" s="180"/>
      <c r="Z47" s="203">
        <v>3200540</v>
      </c>
    </row>
    <row r="48" spans="1:26" x14ac:dyDescent="0.25">
      <c r="A48" s="47">
        <v>43</v>
      </c>
      <c r="B48" s="180" t="s">
        <v>301</v>
      </c>
      <c r="C48" s="187">
        <f t="shared" si="2"/>
        <v>43832</v>
      </c>
      <c r="D48" s="180"/>
      <c r="E48" s="180"/>
      <c r="F48" s="180"/>
      <c r="G48" s="180"/>
      <c r="H48" s="180" t="str">
        <f>IF(G48="","",(VLOOKUP(Z48,'Reference List'!$B$3:$D$173,2,FALSE)))</f>
        <v/>
      </c>
      <c r="I48" s="181" t="str">
        <f>IF(G48="","",(VLOOKUP(Z48,'Reference List'!$B$3:$F$202,5,FALSE)))</f>
        <v/>
      </c>
      <c r="J48" s="197" t="str">
        <f t="shared" si="1"/>
        <v/>
      </c>
      <c r="K48" s="180"/>
      <c r="L48" s="180"/>
      <c r="Z48" s="203">
        <v>3200540</v>
      </c>
    </row>
    <row r="49" spans="1:26" x14ac:dyDescent="0.25">
      <c r="A49" s="59">
        <v>44</v>
      </c>
      <c r="B49" s="180" t="s">
        <v>302</v>
      </c>
      <c r="C49" s="187">
        <f t="shared" si="2"/>
        <v>43832</v>
      </c>
      <c r="D49" s="180"/>
      <c r="E49" s="180"/>
      <c r="F49" s="180"/>
      <c r="G49" s="180"/>
      <c r="H49" s="180" t="str">
        <f>IF(G49="","",(VLOOKUP(Z49,'Reference List'!$B$3:$D$173,2,FALSE)))</f>
        <v/>
      </c>
      <c r="I49" s="181" t="str">
        <f>IF(G49="","",(VLOOKUP(Z49,'Reference List'!$B$3:$F$202,5,FALSE)))</f>
        <v/>
      </c>
      <c r="J49" s="197" t="str">
        <f t="shared" si="1"/>
        <v/>
      </c>
      <c r="K49" s="180"/>
      <c r="L49" s="180"/>
      <c r="Z49" s="203">
        <v>3200540</v>
      </c>
    </row>
    <row r="50" spans="1:26" ht="15" customHeight="1" x14ac:dyDescent="0.25">
      <c r="A50" s="47">
        <v>45</v>
      </c>
      <c r="B50" s="180" t="s">
        <v>303</v>
      </c>
      <c r="C50" s="187">
        <f t="shared" si="2"/>
        <v>43832</v>
      </c>
      <c r="D50" s="180"/>
      <c r="E50" s="180"/>
      <c r="F50" s="180"/>
      <c r="G50" s="180"/>
      <c r="H50" s="180" t="str">
        <f>IF(G50="","",(VLOOKUP(Z50,'Reference List'!$B$3:$D$173,2,FALSE)))</f>
        <v/>
      </c>
      <c r="I50" s="181" t="str">
        <f>IF(G50="","",(VLOOKUP(Z50,'Reference List'!$B$3:$F$202,5,FALSE)))</f>
        <v/>
      </c>
      <c r="J50" s="197" t="str">
        <f t="shared" si="1"/>
        <v/>
      </c>
      <c r="K50" s="180"/>
      <c r="L50" s="180"/>
      <c r="Z50" s="203">
        <v>3200540</v>
      </c>
    </row>
    <row r="51" spans="1:26" x14ac:dyDescent="0.25">
      <c r="A51" s="47">
        <v>46</v>
      </c>
      <c r="B51" s="180" t="s">
        <v>304</v>
      </c>
      <c r="C51" s="187">
        <f t="shared" si="2"/>
        <v>43832</v>
      </c>
      <c r="D51" s="180"/>
      <c r="E51" s="180"/>
      <c r="F51" s="180"/>
      <c r="G51" s="180"/>
      <c r="H51" s="180" t="str">
        <f>IF(G51="","",(VLOOKUP(Z51,'Reference List'!$B$3:$D$173,2,FALSE)))</f>
        <v/>
      </c>
      <c r="I51" s="181" t="str">
        <f>IF(G51="","",(VLOOKUP(Z51,'Reference List'!$B$3:$F$202,5,FALSE)))</f>
        <v/>
      </c>
      <c r="J51" s="197" t="str">
        <f t="shared" si="1"/>
        <v/>
      </c>
      <c r="K51" s="180"/>
      <c r="L51" s="180"/>
      <c r="Z51" s="203">
        <v>3200540</v>
      </c>
    </row>
    <row r="52" spans="1:26" x14ac:dyDescent="0.25">
      <c r="A52" s="59">
        <v>47</v>
      </c>
      <c r="B52" s="180" t="s">
        <v>305</v>
      </c>
      <c r="C52" s="187">
        <f t="shared" si="2"/>
        <v>43832</v>
      </c>
      <c r="D52" s="180"/>
      <c r="E52" s="180"/>
      <c r="F52" s="180"/>
      <c r="G52" s="180"/>
      <c r="H52" s="180" t="str">
        <f>IF(G52="","",(VLOOKUP(Z52,'Reference List'!$B$3:$D$173,2,FALSE)))</f>
        <v/>
      </c>
      <c r="I52" s="181" t="str">
        <f>IF(G52="","",(VLOOKUP(Z52,'Reference List'!$B$3:$F$202,5,FALSE)))</f>
        <v/>
      </c>
      <c r="J52" s="197" t="str">
        <f t="shared" si="1"/>
        <v/>
      </c>
      <c r="K52" s="180"/>
      <c r="L52" s="180"/>
      <c r="Z52" s="203">
        <v>3200540</v>
      </c>
    </row>
    <row r="53" spans="1:26" x14ac:dyDescent="0.25">
      <c r="A53" s="47">
        <v>48</v>
      </c>
      <c r="B53" s="180" t="s">
        <v>306</v>
      </c>
      <c r="C53" s="187">
        <f t="shared" si="2"/>
        <v>43832</v>
      </c>
      <c r="D53" s="180"/>
      <c r="E53" s="180"/>
      <c r="F53" s="180"/>
      <c r="G53" s="180"/>
      <c r="H53" s="180" t="str">
        <f>IF(G53="","",(VLOOKUP(Z53,'Reference List'!$B$3:$D$173,2,FALSE)))</f>
        <v/>
      </c>
      <c r="I53" s="181" t="str">
        <f>IF(G53="","",(VLOOKUP(Z53,'Reference List'!$B$3:$F$202,5,FALSE)))</f>
        <v/>
      </c>
      <c r="J53" s="197" t="str">
        <f t="shared" si="1"/>
        <v/>
      </c>
      <c r="K53" s="180"/>
      <c r="L53" s="180"/>
      <c r="Z53" s="203">
        <v>3200540</v>
      </c>
    </row>
    <row r="54" spans="1:26" x14ac:dyDescent="0.25">
      <c r="A54" s="47">
        <v>49</v>
      </c>
      <c r="B54" s="180" t="s">
        <v>307</v>
      </c>
      <c r="C54" s="187">
        <f t="shared" si="2"/>
        <v>43832</v>
      </c>
      <c r="D54" s="180"/>
      <c r="E54" s="180"/>
      <c r="F54" s="180"/>
      <c r="G54" s="180"/>
      <c r="H54" s="180" t="str">
        <f>IF(G54="","",(VLOOKUP(Z54,'Reference List'!$B$3:$D$173,2,FALSE)))</f>
        <v/>
      </c>
      <c r="I54" s="181" t="str">
        <f>IF(G54="","",(VLOOKUP(Z54,'Reference List'!$B$3:$F$202,5,FALSE)))</f>
        <v/>
      </c>
      <c r="J54" s="197" t="str">
        <f t="shared" si="1"/>
        <v/>
      </c>
      <c r="K54" s="180"/>
      <c r="L54" s="180"/>
      <c r="Z54" s="203">
        <v>3200540</v>
      </c>
    </row>
    <row r="55" spans="1:26" x14ac:dyDescent="0.25">
      <c r="A55" s="59">
        <v>50</v>
      </c>
      <c r="B55" s="180" t="s">
        <v>308</v>
      </c>
      <c r="C55" s="187">
        <f t="shared" si="2"/>
        <v>43832</v>
      </c>
      <c r="D55" s="180"/>
      <c r="E55" s="180"/>
      <c r="F55" s="180"/>
      <c r="G55" s="180"/>
      <c r="H55" s="180" t="str">
        <f>IF(G55="","",(VLOOKUP(Z55,'Reference List'!$B$3:$D$173,2,FALSE)))</f>
        <v/>
      </c>
      <c r="I55" s="181" t="str">
        <f>IF(G55="","",(VLOOKUP(Z55,'Reference List'!$B$3:$F$202,5,FALSE)))</f>
        <v/>
      </c>
      <c r="J55" s="197" t="str">
        <f t="shared" si="1"/>
        <v/>
      </c>
      <c r="K55" s="180"/>
      <c r="L55" s="180"/>
      <c r="Z55" s="203">
        <v>3200540</v>
      </c>
    </row>
    <row r="56" spans="1:26" x14ac:dyDescent="0.25">
      <c r="A56" s="47">
        <v>51</v>
      </c>
      <c r="B56" s="180" t="s">
        <v>309</v>
      </c>
      <c r="C56" s="187">
        <f t="shared" si="2"/>
        <v>43832</v>
      </c>
      <c r="D56" s="180"/>
      <c r="E56" s="180"/>
      <c r="F56" s="180"/>
      <c r="G56" s="180"/>
      <c r="H56" s="180" t="str">
        <f>IF(G56="","",(VLOOKUP(Z56,'Reference List'!$B$3:$D$173,2,FALSE)))</f>
        <v/>
      </c>
      <c r="I56" s="181" t="str">
        <f>IF(G56="","",(VLOOKUP(Z56,'Reference List'!$B$3:$F$202,5,FALSE)))</f>
        <v/>
      </c>
      <c r="J56" s="197" t="str">
        <f t="shared" si="1"/>
        <v/>
      </c>
      <c r="K56" s="180"/>
      <c r="L56" s="180"/>
      <c r="Z56" s="203">
        <v>3200540</v>
      </c>
    </row>
    <row r="57" spans="1:26" x14ac:dyDescent="0.25">
      <c r="A57" s="47">
        <v>52</v>
      </c>
      <c r="B57" s="180" t="s">
        <v>310</v>
      </c>
      <c r="C57" s="187">
        <f t="shared" si="2"/>
        <v>43832</v>
      </c>
      <c r="D57" s="180"/>
      <c r="E57" s="180"/>
      <c r="F57" s="180"/>
      <c r="G57" s="180"/>
      <c r="H57" s="180" t="str">
        <f>IF(G57="","",(VLOOKUP(Z57,'Reference List'!$B$3:$D$173,2,FALSE)))</f>
        <v/>
      </c>
      <c r="I57" s="181" t="str">
        <f>IF(G57="","",(VLOOKUP(Z57,'Reference List'!$B$3:$F$202,5,FALSE)))</f>
        <v/>
      </c>
      <c r="J57" s="197" t="str">
        <f t="shared" si="1"/>
        <v/>
      </c>
      <c r="K57" s="180"/>
      <c r="L57" s="180"/>
      <c r="Z57" s="203">
        <v>3200540</v>
      </c>
    </row>
    <row r="58" spans="1:26" x14ac:dyDescent="0.25">
      <c r="A58" s="59">
        <v>53</v>
      </c>
      <c r="B58" s="180" t="s">
        <v>311</v>
      </c>
      <c r="C58" s="187">
        <f t="shared" si="2"/>
        <v>43832</v>
      </c>
      <c r="D58" s="180"/>
      <c r="E58" s="180"/>
      <c r="F58" s="180"/>
      <c r="G58" s="180"/>
      <c r="H58" s="180" t="str">
        <f>IF(G58="","",(VLOOKUP(Z58,'Reference List'!$B$3:$D$173,2,FALSE)))</f>
        <v/>
      </c>
      <c r="I58" s="181" t="str">
        <f>IF(G58="","",(VLOOKUP(Z58,'Reference List'!$B$3:$F$202,5,FALSE)))</f>
        <v/>
      </c>
      <c r="J58" s="197" t="str">
        <f t="shared" si="1"/>
        <v/>
      </c>
      <c r="K58" s="180"/>
      <c r="L58" s="180"/>
      <c r="Z58" s="203">
        <v>3200540</v>
      </c>
    </row>
    <row r="59" spans="1:26" x14ac:dyDescent="0.25">
      <c r="A59" s="47">
        <v>54</v>
      </c>
      <c r="B59" s="180" t="s">
        <v>312</v>
      </c>
      <c r="C59" s="187">
        <f t="shared" si="2"/>
        <v>43832</v>
      </c>
      <c r="D59" s="180"/>
      <c r="E59" s="180"/>
      <c r="F59" s="180"/>
      <c r="G59" s="180"/>
      <c r="H59" s="180" t="str">
        <f>IF(G59="","",(VLOOKUP(Z59,'Reference List'!$B$3:$D$173,2,FALSE)))</f>
        <v/>
      </c>
      <c r="I59" s="181" t="str">
        <f>IF(G59="","",(VLOOKUP(Z59,'Reference List'!$B$3:$F$202,5,FALSE)))</f>
        <v/>
      </c>
      <c r="J59" s="197" t="str">
        <f t="shared" si="1"/>
        <v/>
      </c>
      <c r="K59" s="180"/>
      <c r="L59" s="180"/>
      <c r="Z59" s="203">
        <v>3200540</v>
      </c>
    </row>
    <row r="60" spans="1:26" x14ac:dyDescent="0.25">
      <c r="A60" s="47">
        <v>55</v>
      </c>
      <c r="B60" s="180" t="s">
        <v>313</v>
      </c>
      <c r="C60" s="187">
        <f t="shared" si="2"/>
        <v>43832</v>
      </c>
      <c r="D60" s="180"/>
      <c r="E60" s="180"/>
      <c r="F60" s="180"/>
      <c r="G60" s="180"/>
      <c r="H60" s="180" t="str">
        <f>IF(G60="","",(VLOOKUP(Z60,'Reference List'!$B$3:$D$173,2,FALSE)))</f>
        <v/>
      </c>
      <c r="I60" s="181" t="str">
        <f>IF(G60="","",(VLOOKUP(Z60,'Reference List'!$B$3:$F$202,5,FALSE)))</f>
        <v/>
      </c>
      <c r="J60" s="197" t="str">
        <f t="shared" si="1"/>
        <v/>
      </c>
      <c r="K60" s="180"/>
      <c r="L60" s="180"/>
      <c r="Z60" s="203">
        <v>3200540</v>
      </c>
    </row>
    <row r="61" spans="1:26" x14ac:dyDescent="0.25">
      <c r="A61" s="59">
        <v>56</v>
      </c>
      <c r="B61" s="180" t="s">
        <v>314</v>
      </c>
      <c r="C61" s="187">
        <f t="shared" si="2"/>
        <v>43832</v>
      </c>
      <c r="D61" s="180"/>
      <c r="E61" s="180"/>
      <c r="F61" s="180"/>
      <c r="G61" s="180"/>
      <c r="H61" s="180" t="str">
        <f>IF(G61="","",(VLOOKUP(Z61,'Reference List'!$B$3:$D$173,2,FALSE)))</f>
        <v/>
      </c>
      <c r="I61" s="181" t="str">
        <f>IF(G61="","",(VLOOKUP(Z61,'Reference List'!$B$3:$F$202,5,FALSE)))</f>
        <v/>
      </c>
      <c r="J61" s="197" t="str">
        <f t="shared" si="1"/>
        <v/>
      </c>
      <c r="K61" s="180"/>
      <c r="L61" s="180"/>
      <c r="Z61" s="203">
        <v>3200540</v>
      </c>
    </row>
    <row r="62" spans="1:26" x14ac:dyDescent="0.25">
      <c r="A62" s="47">
        <v>57</v>
      </c>
      <c r="B62" s="180" t="s">
        <v>315</v>
      </c>
      <c r="C62" s="187">
        <f t="shared" si="2"/>
        <v>43832</v>
      </c>
      <c r="D62" s="180"/>
      <c r="E62" s="180"/>
      <c r="F62" s="180"/>
      <c r="G62" s="180"/>
      <c r="H62" s="180" t="str">
        <f>IF(G62="","",(VLOOKUP(Z62,'Reference List'!$B$3:$D$173,2,FALSE)))</f>
        <v/>
      </c>
      <c r="I62" s="181" t="str">
        <f>IF(G62="","",(VLOOKUP(Z62,'Reference List'!$B$3:$F$202,5,FALSE)))</f>
        <v/>
      </c>
      <c r="J62" s="197" t="str">
        <f t="shared" si="1"/>
        <v/>
      </c>
      <c r="K62" s="180"/>
      <c r="L62" s="180"/>
      <c r="Z62" s="203">
        <v>3200540</v>
      </c>
    </row>
    <row r="63" spans="1:26" x14ac:dyDescent="0.25">
      <c r="A63" s="47">
        <v>58</v>
      </c>
      <c r="B63" s="180" t="s">
        <v>316</v>
      </c>
      <c r="C63" s="187">
        <f t="shared" si="2"/>
        <v>43832</v>
      </c>
      <c r="D63" s="180"/>
      <c r="E63" s="180"/>
      <c r="F63" s="180"/>
      <c r="G63" s="180"/>
      <c r="H63" s="180" t="str">
        <f>IF(G63="","",(VLOOKUP(Z63,'Reference List'!$B$3:$D$173,2,FALSE)))</f>
        <v/>
      </c>
      <c r="I63" s="181" t="str">
        <f>IF(G63="","",(VLOOKUP(Z63,'Reference List'!$B$3:$F$202,5,FALSE)))</f>
        <v/>
      </c>
      <c r="J63" s="197" t="str">
        <f t="shared" si="1"/>
        <v/>
      </c>
      <c r="K63" s="180"/>
      <c r="L63" s="180"/>
      <c r="Z63" s="203">
        <v>3200540</v>
      </c>
    </row>
    <row r="64" spans="1:26" x14ac:dyDescent="0.25">
      <c r="A64" s="59">
        <v>59</v>
      </c>
      <c r="B64" s="180" t="s">
        <v>317</v>
      </c>
      <c r="C64" s="187">
        <f t="shared" si="2"/>
        <v>43832</v>
      </c>
      <c r="D64" s="180"/>
      <c r="E64" s="180"/>
      <c r="F64" s="180"/>
      <c r="G64" s="180"/>
      <c r="H64" s="180" t="str">
        <f>IF(G64="","",(VLOOKUP(Z64,'Reference List'!$B$3:$D$173,2,FALSE)))</f>
        <v/>
      </c>
      <c r="I64" s="181" t="str">
        <f>IF(G64="","",(VLOOKUP(Z64,'Reference List'!$B$3:$F$202,5,FALSE)))</f>
        <v/>
      </c>
      <c r="J64" s="197" t="str">
        <f t="shared" si="1"/>
        <v/>
      </c>
      <c r="K64" s="180"/>
      <c r="L64" s="180"/>
      <c r="Z64" s="203">
        <v>3200540</v>
      </c>
    </row>
    <row r="65" spans="1:26" x14ac:dyDescent="0.25">
      <c r="A65" s="47">
        <v>60</v>
      </c>
      <c r="B65" s="180" t="s">
        <v>318</v>
      </c>
      <c r="C65" s="187">
        <f t="shared" si="2"/>
        <v>43832</v>
      </c>
      <c r="D65" s="180"/>
      <c r="E65" s="180"/>
      <c r="F65" s="180"/>
      <c r="G65" s="180"/>
      <c r="H65" s="180" t="str">
        <f>IF(G65="","",(VLOOKUP(Z65,'Reference List'!$B$3:$D$173,2,FALSE)))</f>
        <v/>
      </c>
      <c r="I65" s="181" t="str">
        <f>IF(G65="","",(VLOOKUP(Z65,'Reference List'!$B$3:$F$202,5,FALSE)))</f>
        <v/>
      </c>
      <c r="J65" s="197" t="str">
        <f t="shared" si="1"/>
        <v/>
      </c>
      <c r="K65" s="180"/>
      <c r="L65" s="180"/>
      <c r="Z65" s="203">
        <v>3200540</v>
      </c>
    </row>
    <row r="66" spans="1:26" x14ac:dyDescent="0.25">
      <c r="A66" s="47">
        <v>61</v>
      </c>
      <c r="B66" s="180" t="s">
        <v>319</v>
      </c>
      <c r="C66" s="187">
        <f t="shared" si="2"/>
        <v>43832</v>
      </c>
      <c r="D66" s="180"/>
      <c r="E66" s="180"/>
      <c r="F66" s="180"/>
      <c r="G66" s="180"/>
      <c r="H66" s="180" t="str">
        <f>IF(G66="","",(VLOOKUP(Z66,'Reference List'!$B$3:$D$173,2,FALSE)))</f>
        <v/>
      </c>
      <c r="I66" s="181" t="str">
        <f>IF(G66="","",(VLOOKUP(Z66,'Reference List'!$B$3:$F$202,5,FALSE)))</f>
        <v/>
      </c>
      <c r="J66" s="197" t="str">
        <f t="shared" si="1"/>
        <v/>
      </c>
      <c r="K66" s="180"/>
      <c r="L66" s="180"/>
      <c r="Z66" s="203">
        <v>3200540</v>
      </c>
    </row>
    <row r="67" spans="1:26" x14ac:dyDescent="0.25">
      <c r="A67" s="59">
        <v>62</v>
      </c>
      <c r="B67" s="180" t="s">
        <v>320</v>
      </c>
      <c r="C67" s="187">
        <f t="shared" si="2"/>
        <v>43832</v>
      </c>
      <c r="D67" s="180"/>
      <c r="E67" s="180"/>
      <c r="F67" s="180"/>
      <c r="G67" s="180"/>
      <c r="H67" s="180" t="str">
        <f>IF(G67="","",(VLOOKUP(Z67,'Reference List'!$B$3:$D$173,2,FALSE)))</f>
        <v/>
      </c>
      <c r="I67" s="181" t="str">
        <f>IF(G67="","",(VLOOKUP(Z67,'Reference List'!$B$3:$F$202,5,FALSE)))</f>
        <v/>
      </c>
      <c r="J67" s="197" t="str">
        <f t="shared" si="1"/>
        <v/>
      </c>
      <c r="K67" s="180"/>
      <c r="L67" s="180"/>
      <c r="Z67" s="203">
        <v>3200540</v>
      </c>
    </row>
    <row r="68" spans="1:26" x14ac:dyDescent="0.25">
      <c r="A68" s="47">
        <v>63</v>
      </c>
      <c r="B68" s="180" t="s">
        <v>321</v>
      </c>
      <c r="C68" s="187">
        <f t="shared" si="2"/>
        <v>43832</v>
      </c>
      <c r="D68" s="180"/>
      <c r="E68" s="180"/>
      <c r="F68" s="180"/>
      <c r="G68" s="180"/>
      <c r="H68" s="180" t="str">
        <f>IF(G68="","",(VLOOKUP(Z68,'Reference List'!$B$3:$D$173,2,FALSE)))</f>
        <v/>
      </c>
      <c r="I68" s="181" t="str">
        <f>IF(G68="","",(VLOOKUP(Z68,'Reference List'!$B$3:$F$202,5,FALSE)))</f>
        <v/>
      </c>
      <c r="J68" s="197" t="str">
        <f t="shared" si="1"/>
        <v/>
      </c>
      <c r="K68" s="180"/>
      <c r="L68" s="180"/>
      <c r="Z68" s="203">
        <v>3200540</v>
      </c>
    </row>
    <row r="69" spans="1:26" x14ac:dyDescent="0.25">
      <c r="A69" s="47">
        <v>64</v>
      </c>
      <c r="B69" s="180" t="s">
        <v>322</v>
      </c>
      <c r="C69" s="187">
        <f t="shared" si="2"/>
        <v>43832</v>
      </c>
      <c r="D69" s="180"/>
      <c r="E69" s="180"/>
      <c r="F69" s="180"/>
      <c r="G69" s="180"/>
      <c r="H69" s="180" t="str">
        <f>IF(G69="","",(VLOOKUP(Z69,'Reference List'!$B$3:$D$173,2,FALSE)))</f>
        <v/>
      </c>
      <c r="I69" s="181" t="str">
        <f>IF(G69="","",(VLOOKUP(Z69,'Reference List'!$B$3:$F$202,5,FALSE)))</f>
        <v/>
      </c>
      <c r="J69" s="197" t="str">
        <f t="shared" si="1"/>
        <v/>
      </c>
      <c r="K69" s="180"/>
      <c r="L69" s="180"/>
      <c r="Z69" s="203">
        <v>3200540</v>
      </c>
    </row>
    <row r="70" spans="1:26" x14ac:dyDescent="0.25">
      <c r="A70" s="59">
        <v>65</v>
      </c>
      <c r="B70" s="180" t="s">
        <v>323</v>
      </c>
      <c r="C70" s="187">
        <f t="shared" si="2"/>
        <v>43832</v>
      </c>
      <c r="D70" s="180"/>
      <c r="E70" s="180"/>
      <c r="F70" s="180"/>
      <c r="G70" s="180"/>
      <c r="H70" s="180" t="str">
        <f>IF(G70="","",(VLOOKUP(Z70,'Reference List'!$B$3:$D$173,2,FALSE)))</f>
        <v/>
      </c>
      <c r="I70" s="181" t="str">
        <f>IF(G70="","",(VLOOKUP(Z70,'Reference List'!$B$3:$F$202,5,FALSE)))</f>
        <v/>
      </c>
      <c r="J70" s="197" t="str">
        <f t="shared" si="1"/>
        <v/>
      </c>
      <c r="K70" s="180"/>
      <c r="L70" s="180"/>
      <c r="Z70" s="203">
        <v>3200540</v>
      </c>
    </row>
    <row r="71" spans="1:26" x14ac:dyDescent="0.25">
      <c r="A71" s="47">
        <v>66</v>
      </c>
      <c r="B71" s="180" t="s">
        <v>324</v>
      </c>
      <c r="C71" s="187">
        <f t="shared" si="2"/>
        <v>43832</v>
      </c>
      <c r="D71" s="180"/>
      <c r="E71" s="180"/>
      <c r="F71" s="180"/>
      <c r="G71" s="180"/>
      <c r="H71" s="180" t="str">
        <f>IF(G71="","",(VLOOKUP(Z71,'Reference List'!$B$3:$D$173,2,FALSE)))</f>
        <v/>
      </c>
      <c r="I71" s="181" t="str">
        <f>IF(G71="","",(VLOOKUP(Z71,'Reference List'!$B$3:$F$202,5,FALSE)))</f>
        <v/>
      </c>
      <c r="J71" s="197" t="str">
        <f t="shared" si="1"/>
        <v/>
      </c>
      <c r="K71" s="180"/>
      <c r="L71" s="180"/>
      <c r="Z71" s="203">
        <v>3200540</v>
      </c>
    </row>
    <row r="72" spans="1:26" x14ac:dyDescent="0.25">
      <c r="A72" s="47">
        <v>67</v>
      </c>
      <c r="B72" s="180" t="s">
        <v>325</v>
      </c>
      <c r="C72" s="187">
        <f t="shared" si="2"/>
        <v>43832</v>
      </c>
      <c r="D72" s="180"/>
      <c r="E72" s="180"/>
      <c r="F72" s="180"/>
      <c r="G72" s="180"/>
      <c r="H72" s="180" t="str">
        <f>IF(G72="","",(VLOOKUP(Z72,'Reference List'!$B$3:$D$173,2,FALSE)))</f>
        <v/>
      </c>
      <c r="I72" s="181" t="str">
        <f>IF(G72="","",(VLOOKUP(Z72,'Reference List'!$B$3:$F$202,5,FALSE)))</f>
        <v/>
      </c>
      <c r="J72" s="197" t="str">
        <f t="shared" si="1"/>
        <v/>
      </c>
      <c r="K72" s="180"/>
      <c r="L72" s="180"/>
      <c r="Z72" s="203">
        <v>3200540</v>
      </c>
    </row>
    <row r="73" spans="1:26" x14ac:dyDescent="0.25">
      <c r="A73" s="59">
        <v>68</v>
      </c>
      <c r="B73" s="180" t="s">
        <v>326</v>
      </c>
      <c r="C73" s="187">
        <f t="shared" si="2"/>
        <v>43832</v>
      </c>
      <c r="D73" s="180"/>
      <c r="E73" s="180"/>
      <c r="F73" s="180"/>
      <c r="G73" s="180"/>
      <c r="H73" s="180" t="str">
        <f>IF(G73="","",(VLOOKUP(Z73,'Reference List'!$B$3:$D$173,2,FALSE)))</f>
        <v/>
      </c>
      <c r="I73" s="181" t="str">
        <f>IF(G73="","",(VLOOKUP(Z73,'Reference List'!$B$3:$F$202,5,FALSE)))</f>
        <v/>
      </c>
      <c r="J73" s="197" t="str">
        <f t="shared" si="1"/>
        <v/>
      </c>
      <c r="K73" s="180"/>
      <c r="L73" s="180"/>
      <c r="Z73" s="203">
        <v>3200540</v>
      </c>
    </row>
    <row r="74" spans="1:26" x14ac:dyDescent="0.25">
      <c r="A74" s="47">
        <v>69</v>
      </c>
      <c r="B74" s="180" t="s">
        <v>327</v>
      </c>
      <c r="C74" s="187">
        <f t="shared" si="2"/>
        <v>43832</v>
      </c>
      <c r="D74" s="180"/>
      <c r="E74" s="180"/>
      <c r="F74" s="180"/>
      <c r="G74" s="180"/>
      <c r="H74" s="180" t="str">
        <f>IF(G74="","",(VLOOKUP(Z74,'Reference List'!$B$3:$D$173,2,FALSE)))</f>
        <v/>
      </c>
      <c r="I74" s="181" t="str">
        <f>IF(G74="","",(VLOOKUP(Z74,'Reference List'!$B$3:$F$202,5,FALSE)))</f>
        <v/>
      </c>
      <c r="J74" s="197" t="str">
        <f t="shared" si="1"/>
        <v/>
      </c>
      <c r="K74" s="180"/>
      <c r="L74" s="180"/>
      <c r="Z74" s="203">
        <v>3200540</v>
      </c>
    </row>
    <row r="75" spans="1:26" x14ac:dyDescent="0.25">
      <c r="A75" s="47">
        <v>70</v>
      </c>
      <c r="B75" s="180" t="s">
        <v>328</v>
      </c>
      <c r="C75" s="187">
        <f t="shared" si="2"/>
        <v>43832</v>
      </c>
      <c r="D75" s="180"/>
      <c r="E75" s="180"/>
      <c r="F75" s="180"/>
      <c r="G75" s="180"/>
      <c r="H75" s="180" t="str">
        <f>IF(G75="","",(VLOOKUP(Z75,'Reference List'!$B$3:$D$173,2,FALSE)))</f>
        <v/>
      </c>
      <c r="I75" s="181" t="str">
        <f>IF(G75="","",(VLOOKUP(Z75,'Reference List'!$B$3:$F$202,5,FALSE)))</f>
        <v/>
      </c>
      <c r="J75" s="197" t="str">
        <f t="shared" si="1"/>
        <v/>
      </c>
      <c r="K75" s="180"/>
      <c r="L75" s="180"/>
      <c r="Z75" s="203">
        <v>3200540</v>
      </c>
    </row>
    <row r="76" spans="1:26" x14ac:dyDescent="0.25">
      <c r="A76" s="59">
        <v>71</v>
      </c>
      <c r="B76" s="180" t="s">
        <v>329</v>
      </c>
      <c r="C76" s="187">
        <f t="shared" si="2"/>
        <v>43832</v>
      </c>
      <c r="D76" s="180"/>
      <c r="E76" s="180"/>
      <c r="F76" s="180"/>
      <c r="G76" s="180"/>
      <c r="H76" s="180" t="str">
        <f>IF(G76="","",(VLOOKUP(Z76,'Reference List'!$B$3:$D$173,2,FALSE)))</f>
        <v/>
      </c>
      <c r="I76" s="181" t="str">
        <f>IF(G76="","",(VLOOKUP(Z76,'Reference List'!$B$3:$F$202,5,FALSE)))</f>
        <v/>
      </c>
      <c r="J76" s="197" t="str">
        <f t="shared" si="1"/>
        <v/>
      </c>
      <c r="K76" s="180"/>
      <c r="L76" s="180"/>
      <c r="Z76" s="203">
        <v>3200540</v>
      </c>
    </row>
    <row r="77" spans="1:26" x14ac:dyDescent="0.25">
      <c r="A77" s="47">
        <v>72</v>
      </c>
      <c r="B77" s="180" t="s">
        <v>330</v>
      </c>
      <c r="C77" s="187">
        <f t="shared" si="2"/>
        <v>43832</v>
      </c>
      <c r="D77" s="180"/>
      <c r="E77" s="180"/>
      <c r="F77" s="180"/>
      <c r="G77" s="180"/>
      <c r="H77" s="180" t="str">
        <f>IF(G77="","",(VLOOKUP(Z77,'Reference List'!$B$3:$D$173,2,FALSE)))</f>
        <v/>
      </c>
      <c r="I77" s="181" t="str">
        <f>IF(G77="","",(VLOOKUP(Z77,'Reference List'!$B$3:$F$202,5,FALSE)))</f>
        <v/>
      </c>
      <c r="J77" s="197" t="str">
        <f t="shared" si="1"/>
        <v/>
      </c>
      <c r="K77" s="180"/>
      <c r="L77" s="180"/>
      <c r="Z77" s="203">
        <v>3200540</v>
      </c>
    </row>
    <row r="78" spans="1:26" x14ac:dyDescent="0.25">
      <c r="A78" s="47">
        <v>73</v>
      </c>
      <c r="B78" s="180" t="s">
        <v>331</v>
      </c>
      <c r="C78" s="187">
        <f t="shared" si="2"/>
        <v>43832</v>
      </c>
      <c r="D78" s="180"/>
      <c r="E78" s="180"/>
      <c r="F78" s="180"/>
      <c r="G78" s="180"/>
      <c r="H78" s="180" t="str">
        <f>IF(G78="","",(VLOOKUP(Z78,'Reference List'!$B$3:$D$173,2,FALSE)))</f>
        <v/>
      </c>
      <c r="I78" s="181" t="str">
        <f>IF(G78="","",(VLOOKUP(Z78,'Reference List'!$B$3:$F$202,5,FALSE)))</f>
        <v/>
      </c>
      <c r="J78" s="197" t="str">
        <f t="shared" si="1"/>
        <v/>
      </c>
      <c r="K78" s="180"/>
      <c r="L78" s="180"/>
      <c r="Z78" s="203">
        <v>3200540</v>
      </c>
    </row>
    <row r="79" spans="1:26" x14ac:dyDescent="0.25">
      <c r="A79" s="59">
        <v>74</v>
      </c>
      <c r="B79" s="180" t="s">
        <v>332</v>
      </c>
      <c r="C79" s="187">
        <f t="shared" si="2"/>
        <v>43832</v>
      </c>
      <c r="D79" s="180"/>
      <c r="E79" s="180"/>
      <c r="F79" s="180"/>
      <c r="G79" s="180"/>
      <c r="H79" s="180" t="str">
        <f>IF(G79="","",(VLOOKUP(Z79,'Reference List'!$B$3:$D$173,2,FALSE)))</f>
        <v/>
      </c>
      <c r="I79" s="181" t="str">
        <f>IF(G79="","",(VLOOKUP(Z79,'Reference List'!$B$3:$F$202,5,FALSE)))</f>
        <v/>
      </c>
      <c r="J79" s="197" t="str">
        <f t="shared" si="1"/>
        <v/>
      </c>
      <c r="K79" s="180"/>
      <c r="L79" s="180"/>
      <c r="Z79" s="203">
        <v>3200540</v>
      </c>
    </row>
    <row r="80" spans="1:26" x14ac:dyDescent="0.25">
      <c r="A80" s="47">
        <v>75</v>
      </c>
      <c r="B80" s="180" t="s">
        <v>333</v>
      </c>
      <c r="C80" s="187">
        <f t="shared" si="2"/>
        <v>43832</v>
      </c>
      <c r="D80" s="180"/>
      <c r="E80" s="180"/>
      <c r="F80" s="180"/>
      <c r="G80" s="180"/>
      <c r="H80" s="180" t="str">
        <f>IF(G80="","",(VLOOKUP(Z80,'Reference List'!$B$3:$D$173,2,FALSE)))</f>
        <v/>
      </c>
      <c r="I80" s="181" t="str">
        <f>IF(G80="","",(VLOOKUP(Z80,'Reference List'!$B$3:$F$202,5,FALSE)))</f>
        <v/>
      </c>
      <c r="J80" s="197" t="str">
        <f t="shared" si="1"/>
        <v/>
      </c>
      <c r="K80" s="180"/>
      <c r="L80" s="180"/>
      <c r="Z80" s="203">
        <v>3200540</v>
      </c>
    </row>
    <row r="81" spans="1:26" x14ac:dyDescent="0.25">
      <c r="A81" s="47">
        <v>76</v>
      </c>
      <c r="B81" s="180" t="s">
        <v>334</v>
      </c>
      <c r="C81" s="187">
        <f t="shared" si="2"/>
        <v>43832</v>
      </c>
      <c r="D81" s="180"/>
      <c r="E81" s="180"/>
      <c r="F81" s="180"/>
      <c r="G81" s="180"/>
      <c r="H81" s="180" t="str">
        <f>IF(G81="","",(VLOOKUP(Z81,'Reference List'!$B$3:$D$173,2,FALSE)))</f>
        <v/>
      </c>
      <c r="I81" s="181" t="str">
        <f>IF(G81="","",(VLOOKUP(Z81,'Reference List'!$B$3:$F$202,5,FALSE)))</f>
        <v/>
      </c>
      <c r="J81" s="197" t="str">
        <f t="shared" si="1"/>
        <v/>
      </c>
      <c r="K81" s="180"/>
      <c r="L81" s="180"/>
      <c r="Z81" s="203">
        <v>3200540</v>
      </c>
    </row>
    <row r="82" spans="1:26" x14ac:dyDescent="0.25">
      <c r="A82" s="59">
        <v>77</v>
      </c>
      <c r="B82" s="180" t="s">
        <v>335</v>
      </c>
      <c r="C82" s="187">
        <f t="shared" si="2"/>
        <v>43832</v>
      </c>
      <c r="D82" s="180"/>
      <c r="E82" s="180"/>
      <c r="F82" s="180"/>
      <c r="G82" s="180"/>
      <c r="H82" s="180" t="str">
        <f>IF(G82="","",(VLOOKUP(Z82,'Reference List'!$B$3:$D$173,2,FALSE)))</f>
        <v/>
      </c>
      <c r="I82" s="181" t="str">
        <f>IF(G82="","",(VLOOKUP(Z82,'Reference List'!$B$3:$F$202,5,FALSE)))</f>
        <v/>
      </c>
      <c r="J82" s="197" t="str">
        <f t="shared" si="1"/>
        <v/>
      </c>
      <c r="K82" s="180"/>
      <c r="L82" s="180"/>
      <c r="Z82" s="203">
        <v>3200540</v>
      </c>
    </row>
    <row r="83" spans="1:26" x14ac:dyDescent="0.25">
      <c r="A83" s="47">
        <v>78</v>
      </c>
      <c r="B83" s="180" t="s">
        <v>336</v>
      </c>
      <c r="C83" s="187">
        <f t="shared" si="2"/>
        <v>43832</v>
      </c>
      <c r="D83" s="180"/>
      <c r="E83" s="180"/>
      <c r="F83" s="180"/>
      <c r="G83" s="180"/>
      <c r="H83" s="180" t="str">
        <f>IF(G83="","",(VLOOKUP(Z83,'Reference List'!$B$3:$D$173,2,FALSE)))</f>
        <v/>
      </c>
      <c r="I83" s="181" t="str">
        <f>IF(G83="","",(VLOOKUP(Z83,'Reference List'!$B$3:$F$202,5,FALSE)))</f>
        <v/>
      </c>
      <c r="J83" s="197" t="str">
        <f t="shared" ref="J83:J105" si="3">IF(LEFT(G83,8)="BUNNINGS","Loscam pallets only",IF(G83="MM ELECTRICAL BIBRA LAKE WA","Plain pallets only",""))</f>
        <v/>
      </c>
      <c r="K83" s="180"/>
      <c r="L83" s="180"/>
      <c r="Z83" s="203">
        <v>3200540</v>
      </c>
    </row>
    <row r="84" spans="1:26" x14ac:dyDescent="0.25">
      <c r="A84" s="47">
        <v>79</v>
      </c>
      <c r="B84" s="180" t="s">
        <v>337</v>
      </c>
      <c r="C84" s="187">
        <f t="shared" si="2"/>
        <v>43832</v>
      </c>
      <c r="D84" s="180"/>
      <c r="E84" s="180"/>
      <c r="F84" s="180"/>
      <c r="G84" s="180"/>
      <c r="H84" s="180" t="str">
        <f>IF(G84="","",(VLOOKUP(Z84,'Reference List'!$B$3:$D$173,2,FALSE)))</f>
        <v/>
      </c>
      <c r="I84" s="181" t="str">
        <f>IF(G84="","",(VLOOKUP(Z84,'Reference List'!$B$3:$F$202,5,FALSE)))</f>
        <v/>
      </c>
      <c r="J84" s="197" t="str">
        <f t="shared" si="3"/>
        <v/>
      </c>
      <c r="K84" s="180"/>
      <c r="L84" s="180"/>
      <c r="Z84" s="203">
        <v>3200540</v>
      </c>
    </row>
    <row r="85" spans="1:26" x14ac:dyDescent="0.25">
      <c r="A85" s="59">
        <v>80</v>
      </c>
      <c r="B85" s="180" t="s">
        <v>338</v>
      </c>
      <c r="C85" s="187">
        <f t="shared" si="2"/>
        <v>43832</v>
      </c>
      <c r="D85" s="180"/>
      <c r="E85" s="180"/>
      <c r="F85" s="180"/>
      <c r="G85" s="180"/>
      <c r="H85" s="180" t="str">
        <f>IF(G85="","",(VLOOKUP(Z85,'Reference List'!$B$3:$D$173,2,FALSE)))</f>
        <v/>
      </c>
      <c r="I85" s="181" t="str">
        <f>IF(G85="","",(VLOOKUP(Z85,'Reference List'!$B$3:$F$202,5,FALSE)))</f>
        <v/>
      </c>
      <c r="J85" s="197" t="str">
        <f t="shared" si="3"/>
        <v/>
      </c>
      <c r="K85" s="180"/>
      <c r="L85" s="180"/>
      <c r="Z85" s="203">
        <v>3200540</v>
      </c>
    </row>
    <row r="86" spans="1:26" x14ac:dyDescent="0.25">
      <c r="A86" s="47">
        <v>81</v>
      </c>
      <c r="B86" s="180" t="s">
        <v>339</v>
      </c>
      <c r="C86" s="187">
        <f t="shared" si="2"/>
        <v>43832</v>
      </c>
      <c r="D86" s="180"/>
      <c r="E86" s="180"/>
      <c r="F86" s="180"/>
      <c r="G86" s="180"/>
      <c r="H86" s="180" t="str">
        <f>IF(G86="","",(VLOOKUP(Z86,'Reference List'!$B$3:$D$173,2,FALSE)))</f>
        <v/>
      </c>
      <c r="I86" s="181" t="str">
        <f>IF(G86="","",(VLOOKUP(Z86,'Reference List'!$B$3:$F$202,5,FALSE)))</f>
        <v/>
      </c>
      <c r="J86" s="197" t="str">
        <f t="shared" si="3"/>
        <v/>
      </c>
      <c r="K86" s="180"/>
      <c r="L86" s="180"/>
      <c r="Z86" s="203">
        <v>3200540</v>
      </c>
    </row>
    <row r="87" spans="1:26" x14ac:dyDescent="0.25">
      <c r="A87" s="47">
        <v>82</v>
      </c>
      <c r="B87" s="180" t="s">
        <v>340</v>
      </c>
      <c r="C87" s="187">
        <f t="shared" si="2"/>
        <v>43832</v>
      </c>
      <c r="D87" s="180"/>
      <c r="E87" s="180"/>
      <c r="F87" s="180"/>
      <c r="G87" s="180"/>
      <c r="H87" s="180" t="str">
        <f>IF(G87="","",(VLOOKUP(Z87,'Reference List'!$B$3:$D$173,2,FALSE)))</f>
        <v/>
      </c>
      <c r="I87" s="181" t="str">
        <f>IF(G87="","",(VLOOKUP(Z87,'Reference List'!$B$3:$F$202,5,FALSE)))</f>
        <v/>
      </c>
      <c r="J87" s="197" t="str">
        <f t="shared" si="3"/>
        <v/>
      </c>
      <c r="K87" s="180"/>
      <c r="L87" s="180"/>
      <c r="Z87" s="203">
        <v>3200540</v>
      </c>
    </row>
    <row r="88" spans="1:26" x14ac:dyDescent="0.25">
      <c r="A88" s="59">
        <v>83</v>
      </c>
      <c r="B88" s="180" t="s">
        <v>341</v>
      </c>
      <c r="C88" s="187">
        <f t="shared" si="2"/>
        <v>43832</v>
      </c>
      <c r="D88" s="180"/>
      <c r="E88" s="180"/>
      <c r="F88" s="180"/>
      <c r="G88" s="180"/>
      <c r="H88" s="180" t="str">
        <f>IF(G88="","",(VLOOKUP(Z88,'Reference List'!$B$3:$D$173,2,FALSE)))</f>
        <v/>
      </c>
      <c r="I88" s="181" t="str">
        <f>IF(G88="","",(VLOOKUP(Z88,'Reference List'!$B$3:$F$202,5,FALSE)))</f>
        <v/>
      </c>
      <c r="J88" s="197" t="str">
        <f t="shared" si="3"/>
        <v/>
      </c>
      <c r="K88" s="180"/>
      <c r="L88" s="180"/>
      <c r="Z88" s="203">
        <v>3200540</v>
      </c>
    </row>
    <row r="89" spans="1:26" x14ac:dyDescent="0.25">
      <c r="A89" s="47">
        <v>84</v>
      </c>
      <c r="B89" s="180" t="s">
        <v>342</v>
      </c>
      <c r="C89" s="187">
        <f t="shared" si="2"/>
        <v>43832</v>
      </c>
      <c r="D89" s="180"/>
      <c r="E89" s="180"/>
      <c r="F89" s="180"/>
      <c r="G89" s="180"/>
      <c r="H89" s="180" t="str">
        <f>IF(G89="","",(VLOOKUP(Z89,'Reference List'!$B$3:$D$173,2,FALSE)))</f>
        <v/>
      </c>
      <c r="I89" s="181" t="str">
        <f>IF(G89="","",(VLOOKUP(Z89,'Reference List'!$B$3:$F$202,5,FALSE)))</f>
        <v/>
      </c>
      <c r="J89" s="197" t="str">
        <f t="shared" si="3"/>
        <v/>
      </c>
      <c r="K89" s="180"/>
      <c r="L89" s="180"/>
      <c r="Z89" s="203">
        <v>3200540</v>
      </c>
    </row>
    <row r="90" spans="1:26" x14ac:dyDescent="0.25">
      <c r="A90" s="47">
        <v>85</v>
      </c>
      <c r="B90" s="180" t="s">
        <v>343</v>
      </c>
      <c r="C90" s="187">
        <f t="shared" si="2"/>
        <v>43832</v>
      </c>
      <c r="D90" s="180"/>
      <c r="E90" s="180"/>
      <c r="F90" s="180"/>
      <c r="G90" s="180"/>
      <c r="H90" s="180" t="str">
        <f>IF(G90="","",(VLOOKUP(Z90,'Reference List'!$B$3:$D$173,2,FALSE)))</f>
        <v/>
      </c>
      <c r="I90" s="181" t="str">
        <f>IF(G90="","",(VLOOKUP(Z90,'Reference List'!$B$3:$F$202,5,FALSE)))</f>
        <v/>
      </c>
      <c r="J90" s="197" t="str">
        <f t="shared" si="3"/>
        <v/>
      </c>
      <c r="K90" s="180"/>
      <c r="L90" s="180"/>
      <c r="Z90" s="203">
        <v>3200540</v>
      </c>
    </row>
    <row r="91" spans="1:26" x14ac:dyDescent="0.25">
      <c r="A91" s="59">
        <v>86</v>
      </c>
      <c r="B91" s="180" t="s">
        <v>344</v>
      </c>
      <c r="C91" s="187">
        <f t="shared" ref="C91:C105" si="4">+C90</f>
        <v>43832</v>
      </c>
      <c r="D91" s="180"/>
      <c r="E91" s="180"/>
      <c r="F91" s="180"/>
      <c r="G91" s="180"/>
      <c r="H91" s="180" t="str">
        <f>IF(G91="","",(VLOOKUP(Z91,'Reference List'!$B$3:$D$173,2,FALSE)))</f>
        <v/>
      </c>
      <c r="I91" s="181" t="str">
        <f>IF(G91="","",(VLOOKUP(Z91,'Reference List'!$B$3:$F$202,5,FALSE)))</f>
        <v/>
      </c>
      <c r="J91" s="197" t="str">
        <f t="shared" si="3"/>
        <v/>
      </c>
      <c r="K91" s="180"/>
      <c r="L91" s="180"/>
      <c r="Z91" s="203">
        <v>3200540</v>
      </c>
    </row>
    <row r="92" spans="1:26" x14ac:dyDescent="0.25">
      <c r="A92" s="47">
        <v>87</v>
      </c>
      <c r="B92" s="180" t="s">
        <v>345</v>
      </c>
      <c r="C92" s="187">
        <f t="shared" si="4"/>
        <v>43832</v>
      </c>
      <c r="D92" s="180"/>
      <c r="E92" s="180"/>
      <c r="F92" s="180"/>
      <c r="G92" s="180"/>
      <c r="H92" s="180" t="str">
        <f>IF(G92="","",(VLOOKUP(Z92,'Reference List'!$B$3:$D$173,2,FALSE)))</f>
        <v/>
      </c>
      <c r="I92" s="181" t="str">
        <f>IF(G92="","",(VLOOKUP(Z92,'Reference List'!$B$3:$F$202,5,FALSE)))</f>
        <v/>
      </c>
      <c r="J92" s="197" t="str">
        <f t="shared" si="3"/>
        <v/>
      </c>
      <c r="K92" s="180"/>
      <c r="L92" s="180"/>
      <c r="Z92" s="203">
        <v>3200540</v>
      </c>
    </row>
    <row r="93" spans="1:26" x14ac:dyDescent="0.25">
      <c r="A93" s="47">
        <v>88</v>
      </c>
      <c r="B93" s="180" t="s">
        <v>346</v>
      </c>
      <c r="C93" s="187">
        <f t="shared" si="4"/>
        <v>43832</v>
      </c>
      <c r="D93" s="180"/>
      <c r="E93" s="180"/>
      <c r="F93" s="180"/>
      <c r="G93" s="180"/>
      <c r="H93" s="180" t="str">
        <f>IF(G93="","",(VLOOKUP(Z93,'Reference List'!$B$3:$D$173,2,FALSE)))</f>
        <v/>
      </c>
      <c r="I93" s="181" t="str">
        <f>IF(G93="","",(VLOOKUP(Z93,'Reference List'!$B$3:$F$202,5,FALSE)))</f>
        <v/>
      </c>
      <c r="J93" s="197" t="str">
        <f t="shared" si="3"/>
        <v/>
      </c>
      <c r="K93" s="180"/>
      <c r="L93" s="180"/>
      <c r="Z93" s="203">
        <v>3200540</v>
      </c>
    </row>
    <row r="94" spans="1:26" x14ac:dyDescent="0.25">
      <c r="A94" s="59">
        <v>89</v>
      </c>
      <c r="B94" s="180" t="s">
        <v>347</v>
      </c>
      <c r="C94" s="187">
        <f t="shared" si="4"/>
        <v>43832</v>
      </c>
      <c r="D94" s="180"/>
      <c r="E94" s="180"/>
      <c r="F94" s="180"/>
      <c r="G94" s="180"/>
      <c r="H94" s="180" t="str">
        <f>IF(G94="","",(VLOOKUP(Z94,'Reference List'!$B$3:$D$173,2,FALSE)))</f>
        <v/>
      </c>
      <c r="I94" s="181" t="str">
        <f>IF(G94="","",(VLOOKUP(Z94,'Reference List'!$B$3:$F$202,5,FALSE)))</f>
        <v/>
      </c>
      <c r="J94" s="197" t="str">
        <f t="shared" si="3"/>
        <v/>
      </c>
      <c r="K94" s="180"/>
      <c r="L94" s="180"/>
      <c r="Z94" s="203">
        <v>3200540</v>
      </c>
    </row>
    <row r="95" spans="1:26" x14ac:dyDescent="0.25">
      <c r="A95" s="47">
        <v>90</v>
      </c>
      <c r="B95" s="180" t="s">
        <v>348</v>
      </c>
      <c r="C95" s="187">
        <f t="shared" si="4"/>
        <v>43832</v>
      </c>
      <c r="D95" s="180"/>
      <c r="E95" s="180"/>
      <c r="F95" s="180"/>
      <c r="G95" s="180"/>
      <c r="H95" s="180" t="str">
        <f>IF(G95="","",(VLOOKUP(Z95,'Reference List'!$B$3:$D$173,2,FALSE)))</f>
        <v/>
      </c>
      <c r="I95" s="181" t="str">
        <f>IF(G95="","",(VLOOKUP(Z95,'Reference List'!$B$3:$F$202,5,FALSE)))</f>
        <v/>
      </c>
      <c r="J95" s="197" t="str">
        <f t="shared" si="3"/>
        <v/>
      </c>
      <c r="K95" s="180"/>
      <c r="L95" s="180"/>
      <c r="Z95" s="203">
        <v>3200540</v>
      </c>
    </row>
    <row r="96" spans="1:26" x14ac:dyDescent="0.25">
      <c r="A96" s="47">
        <v>91</v>
      </c>
      <c r="B96" s="180" t="s">
        <v>349</v>
      </c>
      <c r="C96" s="187">
        <f t="shared" si="4"/>
        <v>43832</v>
      </c>
      <c r="D96" s="180"/>
      <c r="E96" s="180"/>
      <c r="F96" s="180"/>
      <c r="G96" s="180"/>
      <c r="H96" s="180" t="str">
        <f>IF(G96="","",(VLOOKUP(Z96,'Reference List'!$B$3:$D$173,2,FALSE)))</f>
        <v/>
      </c>
      <c r="I96" s="181" t="str">
        <f>IF(G96="","",(VLOOKUP(Z96,'Reference List'!$B$3:$F$202,5,FALSE)))</f>
        <v/>
      </c>
      <c r="J96" s="197" t="str">
        <f t="shared" si="3"/>
        <v/>
      </c>
      <c r="K96" s="180"/>
      <c r="L96" s="180"/>
      <c r="Z96" s="203">
        <v>3200540</v>
      </c>
    </row>
    <row r="97" spans="1:26" x14ac:dyDescent="0.25">
      <c r="A97" s="59">
        <v>92</v>
      </c>
      <c r="B97" s="180" t="s">
        <v>350</v>
      </c>
      <c r="C97" s="187">
        <f t="shared" si="4"/>
        <v>43832</v>
      </c>
      <c r="D97" s="180"/>
      <c r="E97" s="180"/>
      <c r="F97" s="180"/>
      <c r="G97" s="180"/>
      <c r="H97" s="180" t="str">
        <f>IF(G97="","",(VLOOKUP(Z97,'Reference List'!$B$3:$D$173,2,FALSE)))</f>
        <v/>
      </c>
      <c r="I97" s="181" t="str">
        <f>IF(G97="","",(VLOOKUP(Z97,'Reference List'!$B$3:$F$202,5,FALSE)))</f>
        <v/>
      </c>
      <c r="J97" s="197" t="str">
        <f t="shared" si="3"/>
        <v/>
      </c>
      <c r="K97" s="180"/>
      <c r="L97" s="180"/>
      <c r="Z97" s="203">
        <v>3200540</v>
      </c>
    </row>
    <row r="98" spans="1:26" x14ac:dyDescent="0.25">
      <c r="A98" s="47">
        <v>93</v>
      </c>
      <c r="B98" s="180" t="s">
        <v>351</v>
      </c>
      <c r="C98" s="187">
        <f t="shared" si="4"/>
        <v>43832</v>
      </c>
      <c r="D98" s="180"/>
      <c r="E98" s="180"/>
      <c r="F98" s="180"/>
      <c r="G98" s="180"/>
      <c r="H98" s="180" t="str">
        <f>IF(G98="","",(VLOOKUP(Z98,'Reference List'!$B$3:$D$173,2,FALSE)))</f>
        <v/>
      </c>
      <c r="I98" s="181" t="str">
        <f>IF(G98="","",(VLOOKUP(Z98,'Reference List'!$B$3:$F$202,5,FALSE)))</f>
        <v/>
      </c>
      <c r="J98" s="197" t="str">
        <f t="shared" si="3"/>
        <v/>
      </c>
      <c r="K98" s="180"/>
      <c r="L98" s="180"/>
      <c r="Z98" s="203">
        <v>3200540</v>
      </c>
    </row>
    <row r="99" spans="1:26" x14ac:dyDescent="0.25">
      <c r="A99" s="47">
        <v>94</v>
      </c>
      <c r="B99" s="180" t="s">
        <v>352</v>
      </c>
      <c r="C99" s="187">
        <f t="shared" si="4"/>
        <v>43832</v>
      </c>
      <c r="D99" s="180"/>
      <c r="E99" s="180"/>
      <c r="F99" s="180"/>
      <c r="G99" s="180"/>
      <c r="H99" s="180" t="str">
        <f>IF(G99="","",(VLOOKUP(Z99,'Reference List'!$B$3:$D$173,2,FALSE)))</f>
        <v/>
      </c>
      <c r="I99" s="181" t="str">
        <f>IF(G99="","",(VLOOKUP(Z99,'Reference List'!$B$3:$F$202,5,FALSE)))</f>
        <v/>
      </c>
      <c r="J99" s="197" t="str">
        <f t="shared" si="3"/>
        <v/>
      </c>
      <c r="K99" s="180"/>
      <c r="L99" s="180"/>
      <c r="Z99" s="203">
        <v>3200540</v>
      </c>
    </row>
    <row r="100" spans="1:26" x14ac:dyDescent="0.25">
      <c r="A100" s="59">
        <v>95</v>
      </c>
      <c r="B100" s="180" t="s">
        <v>353</v>
      </c>
      <c r="C100" s="187">
        <f t="shared" si="4"/>
        <v>43832</v>
      </c>
      <c r="D100" s="180"/>
      <c r="E100" s="180"/>
      <c r="F100" s="180"/>
      <c r="G100" s="180"/>
      <c r="H100" s="180" t="str">
        <f>IF(G100="","",(VLOOKUP(Z100,'Reference List'!$B$3:$D$173,2,FALSE)))</f>
        <v/>
      </c>
      <c r="I100" s="181" t="str">
        <f>IF(G100="","",(VLOOKUP(Z100,'Reference List'!$B$3:$F$202,5,FALSE)))</f>
        <v/>
      </c>
      <c r="J100" s="197" t="str">
        <f t="shared" si="3"/>
        <v/>
      </c>
      <c r="K100" s="180"/>
      <c r="L100" s="180"/>
      <c r="Z100" s="203">
        <v>3200540</v>
      </c>
    </row>
    <row r="101" spans="1:26" x14ac:dyDescent="0.25">
      <c r="A101" s="47">
        <v>96</v>
      </c>
      <c r="B101" s="180" t="s">
        <v>354</v>
      </c>
      <c r="C101" s="187">
        <f t="shared" si="4"/>
        <v>43832</v>
      </c>
      <c r="D101" s="180"/>
      <c r="E101" s="180"/>
      <c r="F101" s="180"/>
      <c r="G101" s="180"/>
      <c r="H101" s="180" t="str">
        <f>IF(G101="","",(VLOOKUP(Z101,'Reference List'!$B$3:$D$173,2,FALSE)))</f>
        <v/>
      </c>
      <c r="I101" s="181" t="str">
        <f>IF(G101="","",(VLOOKUP(Z101,'Reference List'!$B$3:$F$202,5,FALSE)))</f>
        <v/>
      </c>
      <c r="J101" s="197" t="str">
        <f t="shared" si="3"/>
        <v/>
      </c>
      <c r="K101" s="180"/>
      <c r="L101" s="180"/>
      <c r="Z101" s="203">
        <v>3200540</v>
      </c>
    </row>
    <row r="102" spans="1:26" x14ac:dyDescent="0.25">
      <c r="A102" s="47">
        <v>97</v>
      </c>
      <c r="B102" s="180" t="s">
        <v>355</v>
      </c>
      <c r="C102" s="187">
        <f t="shared" si="4"/>
        <v>43832</v>
      </c>
      <c r="D102" s="180"/>
      <c r="E102" s="180"/>
      <c r="F102" s="180"/>
      <c r="G102" s="180"/>
      <c r="H102" s="180" t="str">
        <f>IF(G102="","",(VLOOKUP(Z102,'Reference List'!$B$3:$D$173,2,FALSE)))</f>
        <v/>
      </c>
      <c r="I102" s="181" t="str">
        <f>IF(G102="","",(VLOOKUP(Z102,'Reference List'!$B$3:$F$202,5,FALSE)))</f>
        <v/>
      </c>
      <c r="J102" s="197" t="str">
        <f t="shared" si="3"/>
        <v/>
      </c>
      <c r="K102" s="180"/>
      <c r="L102" s="180"/>
      <c r="Z102" s="203">
        <v>3200540</v>
      </c>
    </row>
    <row r="103" spans="1:26" x14ac:dyDescent="0.25">
      <c r="A103" s="59">
        <v>98</v>
      </c>
      <c r="B103" s="180" t="s">
        <v>356</v>
      </c>
      <c r="C103" s="187">
        <f t="shared" si="4"/>
        <v>43832</v>
      </c>
      <c r="D103" s="180"/>
      <c r="E103" s="180"/>
      <c r="F103" s="180"/>
      <c r="G103" s="180"/>
      <c r="H103" s="180" t="str">
        <f>IF(G103="","",(VLOOKUP(Z103,'Reference List'!$B$3:$D$173,2,FALSE)))</f>
        <v/>
      </c>
      <c r="I103" s="181" t="str">
        <f>IF(G103="","",(VLOOKUP(Z103,'Reference List'!$B$3:$F$202,5,FALSE)))</f>
        <v/>
      </c>
      <c r="J103" s="197" t="str">
        <f t="shared" si="3"/>
        <v/>
      </c>
      <c r="K103" s="180"/>
      <c r="L103" s="180"/>
      <c r="Z103" s="203">
        <v>3200540</v>
      </c>
    </row>
    <row r="104" spans="1:26" x14ac:dyDescent="0.25">
      <c r="A104" s="47">
        <v>99</v>
      </c>
      <c r="B104" s="180" t="s">
        <v>357</v>
      </c>
      <c r="C104" s="187">
        <f t="shared" si="4"/>
        <v>43832</v>
      </c>
      <c r="D104" s="180"/>
      <c r="E104" s="180"/>
      <c r="F104" s="180"/>
      <c r="G104" s="180"/>
      <c r="H104" s="180" t="str">
        <f>IF(G104="","",(VLOOKUP(Z104,'Reference List'!$B$3:$D$173,2,FALSE)))</f>
        <v/>
      </c>
      <c r="I104" s="181" t="str">
        <f>IF(G104="","",(VLOOKUP(Z104,'Reference List'!$B$3:$F$202,5,FALSE)))</f>
        <v/>
      </c>
      <c r="J104" s="197" t="str">
        <f t="shared" si="3"/>
        <v/>
      </c>
      <c r="K104" s="180"/>
      <c r="L104" s="180"/>
      <c r="Z104" s="203">
        <v>3200540</v>
      </c>
    </row>
    <row r="105" spans="1:26" x14ac:dyDescent="0.25">
      <c r="A105" s="47">
        <v>100</v>
      </c>
      <c r="B105" s="180" t="s">
        <v>358</v>
      </c>
      <c r="C105" s="187">
        <f t="shared" si="4"/>
        <v>43832</v>
      </c>
      <c r="D105" s="180"/>
      <c r="E105" s="180"/>
      <c r="F105" s="180"/>
      <c r="G105" s="180"/>
      <c r="H105" s="180" t="str">
        <f>IF(G105="","",(VLOOKUP(Z105,'Reference List'!$B$3:$D$173,2,FALSE)))</f>
        <v/>
      </c>
      <c r="I105" s="181" t="str">
        <f>IF(G105="","",(VLOOKUP(Z105,'Reference List'!$B$3:$F$202,5,FALSE)))</f>
        <v/>
      </c>
      <c r="J105" s="197" t="str">
        <f t="shared" si="3"/>
        <v/>
      </c>
      <c r="K105" s="180"/>
      <c r="L105" s="180"/>
      <c r="Z105" s="203">
        <v>3200540</v>
      </c>
    </row>
    <row r="106" spans="1:26" x14ac:dyDescent="0.25">
      <c r="E106">
        <f>COUNTA(E7:E16)</f>
        <v>0</v>
      </c>
      <c r="K106">
        <f>SUM(K7:K16)</f>
        <v>0</v>
      </c>
    </row>
  </sheetData>
  <mergeCells count="5">
    <mergeCell ref="G4:H4"/>
    <mergeCell ref="D6:J6"/>
    <mergeCell ref="K2:L2"/>
    <mergeCell ref="K5:L5"/>
    <mergeCell ref="B17:K17"/>
  </mergeCells>
  <conditionalFormatting sqref="G43 G14:G16 G9:G10 G23:G24 G18:G21">
    <cfRule type="cellIs" dxfId="195" priority="246" operator="equal">
      <formula>#N/A</formula>
    </cfRule>
  </conditionalFormatting>
  <conditionalFormatting sqref="G3 G11:G13 G32 G34:G48">
    <cfRule type="cellIs" dxfId="194" priority="245" operator="equal">
      <formula>#N/A</formula>
    </cfRule>
  </conditionalFormatting>
  <conditionalFormatting sqref="G44">
    <cfRule type="cellIs" dxfId="193" priority="244" operator="equal">
      <formula>#N/A</formula>
    </cfRule>
  </conditionalFormatting>
  <conditionalFormatting sqref="F1:F2">
    <cfRule type="cellIs" dxfId="192" priority="243" operator="equal">
      <formula>#N/A</formula>
    </cfRule>
  </conditionalFormatting>
  <conditionalFormatting sqref="G32">
    <cfRule type="cellIs" dxfId="191" priority="233" operator="equal">
      <formula>#N/A</formula>
    </cfRule>
  </conditionalFormatting>
  <conditionalFormatting sqref="G25">
    <cfRule type="cellIs" dxfId="190" priority="231" operator="equal">
      <formula>#N/A</formula>
    </cfRule>
  </conditionalFormatting>
  <conditionalFormatting sqref="G44">
    <cfRule type="cellIs" dxfId="189" priority="229" operator="equal">
      <formula>#N/A</formula>
    </cfRule>
  </conditionalFormatting>
  <conditionalFormatting sqref="G32">
    <cfRule type="cellIs" dxfId="188" priority="227" operator="equal">
      <formula>#N/A</formula>
    </cfRule>
  </conditionalFormatting>
  <conditionalFormatting sqref="G34">
    <cfRule type="cellIs" dxfId="187" priority="225" operator="equal">
      <formula>#N/A</formula>
    </cfRule>
  </conditionalFormatting>
  <conditionalFormatting sqref="G45">
    <cfRule type="cellIs" dxfId="186" priority="224" operator="equal">
      <formula>#N/A</formula>
    </cfRule>
  </conditionalFormatting>
  <conditionalFormatting sqref="G46">
    <cfRule type="cellIs" dxfId="185" priority="223" operator="equal">
      <formula>#N/A</formula>
    </cfRule>
  </conditionalFormatting>
  <conditionalFormatting sqref="G32">
    <cfRule type="cellIs" dxfId="184" priority="222" operator="equal">
      <formula>#N/A</formula>
    </cfRule>
  </conditionalFormatting>
  <conditionalFormatting sqref="G34">
    <cfRule type="cellIs" dxfId="183" priority="220" operator="equal">
      <formula>#N/A</formula>
    </cfRule>
  </conditionalFormatting>
  <conditionalFormatting sqref="G35">
    <cfRule type="cellIs" dxfId="182" priority="219" operator="equal">
      <formula>#N/A</formula>
    </cfRule>
  </conditionalFormatting>
  <conditionalFormatting sqref="G46">
    <cfRule type="cellIs" dxfId="181" priority="218" operator="equal">
      <formula>#N/A</formula>
    </cfRule>
  </conditionalFormatting>
  <conditionalFormatting sqref="G34">
    <cfRule type="cellIs" dxfId="180" priority="216" operator="equal">
      <formula>#N/A</formula>
    </cfRule>
  </conditionalFormatting>
  <conditionalFormatting sqref="G35">
    <cfRule type="cellIs" dxfId="179" priority="215" operator="equal">
      <formula>#N/A</formula>
    </cfRule>
  </conditionalFormatting>
  <conditionalFormatting sqref="G25:G26">
    <cfRule type="cellIs" dxfId="178" priority="213" operator="equal">
      <formula>#N/A</formula>
    </cfRule>
  </conditionalFormatting>
  <conditionalFormatting sqref="G44">
    <cfRule type="cellIs" dxfId="177" priority="174" operator="equal">
      <formula>#N/A</formula>
    </cfRule>
  </conditionalFormatting>
  <conditionalFormatting sqref="G42">
    <cfRule type="cellIs" dxfId="176" priority="209" operator="equal">
      <formula>#N/A</formula>
    </cfRule>
  </conditionalFormatting>
  <conditionalFormatting sqref="G42">
    <cfRule type="cellIs" dxfId="175" priority="207" operator="equal">
      <formula>#N/A</formula>
    </cfRule>
  </conditionalFormatting>
  <conditionalFormatting sqref="G42">
    <cfRule type="cellIs" dxfId="174" priority="206" operator="equal">
      <formula>#N/A</formula>
    </cfRule>
  </conditionalFormatting>
  <conditionalFormatting sqref="G42">
    <cfRule type="cellIs" dxfId="173" priority="205" operator="equal">
      <formula>#N/A</formula>
    </cfRule>
  </conditionalFormatting>
  <conditionalFormatting sqref="G32">
    <cfRule type="cellIs" dxfId="172" priority="204" operator="equal">
      <formula>#N/A</formula>
    </cfRule>
  </conditionalFormatting>
  <conditionalFormatting sqref="G32">
    <cfRule type="cellIs" dxfId="171" priority="203" operator="equal">
      <formula>#N/A</formula>
    </cfRule>
  </conditionalFormatting>
  <conditionalFormatting sqref="G32">
    <cfRule type="cellIs" dxfId="170" priority="201" operator="equal">
      <formula>#N/A</formula>
    </cfRule>
  </conditionalFormatting>
  <conditionalFormatting sqref="G34">
    <cfRule type="cellIs" dxfId="169" priority="199" operator="equal">
      <formula>#N/A</formula>
    </cfRule>
  </conditionalFormatting>
  <conditionalFormatting sqref="G32">
    <cfRule type="cellIs" dxfId="168" priority="198" operator="equal">
      <formula>#N/A</formula>
    </cfRule>
  </conditionalFormatting>
  <conditionalFormatting sqref="G34">
    <cfRule type="cellIs" dxfId="167" priority="196" operator="equal">
      <formula>#N/A</formula>
    </cfRule>
  </conditionalFormatting>
  <conditionalFormatting sqref="G35">
    <cfRule type="cellIs" dxfId="166" priority="195" operator="equal">
      <formula>#N/A</formula>
    </cfRule>
  </conditionalFormatting>
  <conditionalFormatting sqref="G36">
    <cfRule type="cellIs" dxfId="165" priority="194" operator="equal">
      <formula>#N/A</formula>
    </cfRule>
  </conditionalFormatting>
  <conditionalFormatting sqref="G32">
    <cfRule type="cellIs" dxfId="164" priority="190" operator="equal">
      <formula>#N/A</formula>
    </cfRule>
  </conditionalFormatting>
  <conditionalFormatting sqref="G34">
    <cfRule type="cellIs" dxfId="163" priority="188" operator="equal">
      <formula>#N/A</formula>
    </cfRule>
  </conditionalFormatting>
  <conditionalFormatting sqref="G35">
    <cfRule type="cellIs" dxfId="162" priority="187" operator="equal">
      <formula>#N/A</formula>
    </cfRule>
  </conditionalFormatting>
  <conditionalFormatting sqref="G34">
    <cfRule type="cellIs" dxfId="161" priority="185" operator="equal">
      <formula>#N/A</formula>
    </cfRule>
  </conditionalFormatting>
  <conditionalFormatting sqref="G35">
    <cfRule type="cellIs" dxfId="160" priority="184" operator="equal">
      <formula>#N/A</formula>
    </cfRule>
  </conditionalFormatting>
  <conditionalFormatting sqref="G34">
    <cfRule type="cellIs" dxfId="159" priority="182" operator="equal">
      <formula>#N/A</formula>
    </cfRule>
  </conditionalFormatting>
  <conditionalFormatting sqref="G35">
    <cfRule type="cellIs" dxfId="158" priority="181" operator="equal">
      <formula>#N/A</formula>
    </cfRule>
  </conditionalFormatting>
  <conditionalFormatting sqref="G36">
    <cfRule type="cellIs" dxfId="157" priority="179" operator="equal">
      <formula>#N/A</formula>
    </cfRule>
  </conditionalFormatting>
  <conditionalFormatting sqref="G35">
    <cfRule type="cellIs" dxfId="156" priority="178" operator="equal">
      <formula>#N/A</formula>
    </cfRule>
  </conditionalFormatting>
  <conditionalFormatting sqref="G36">
    <cfRule type="cellIs" dxfId="155" priority="176" operator="equal">
      <formula>#N/A</formula>
    </cfRule>
  </conditionalFormatting>
  <conditionalFormatting sqref="G37">
    <cfRule type="cellIs" dxfId="154" priority="175" operator="equal">
      <formula>#N/A</formula>
    </cfRule>
  </conditionalFormatting>
  <conditionalFormatting sqref="G44">
    <cfRule type="cellIs" dxfId="153" priority="172" operator="equal">
      <formula>#N/A</formula>
    </cfRule>
  </conditionalFormatting>
  <conditionalFormatting sqref="G44">
    <cfRule type="cellIs" dxfId="152" priority="171" operator="equal">
      <formula>#N/A</formula>
    </cfRule>
  </conditionalFormatting>
  <conditionalFormatting sqref="G44">
    <cfRule type="cellIs" dxfId="151" priority="170" operator="equal">
      <formula>#N/A</formula>
    </cfRule>
  </conditionalFormatting>
  <conditionalFormatting sqref="G34">
    <cfRule type="cellIs" dxfId="150" priority="169" operator="equal">
      <formula>#N/A</formula>
    </cfRule>
  </conditionalFormatting>
  <conditionalFormatting sqref="G34">
    <cfRule type="cellIs" dxfId="149" priority="168" operator="equal">
      <formula>#N/A</formula>
    </cfRule>
  </conditionalFormatting>
  <conditionalFormatting sqref="G35">
    <cfRule type="cellIs" dxfId="148" priority="167" operator="equal">
      <formula>#N/A</formula>
    </cfRule>
  </conditionalFormatting>
  <conditionalFormatting sqref="G34">
    <cfRule type="cellIs" dxfId="147" priority="166" operator="equal">
      <formula>#N/A</formula>
    </cfRule>
  </conditionalFormatting>
  <conditionalFormatting sqref="G35">
    <cfRule type="cellIs" dxfId="146" priority="165" operator="equal">
      <formula>#N/A</formula>
    </cfRule>
  </conditionalFormatting>
  <conditionalFormatting sqref="G34">
    <cfRule type="cellIs" dxfId="145" priority="163" operator="equal">
      <formula>#N/A</formula>
    </cfRule>
  </conditionalFormatting>
  <conditionalFormatting sqref="G35">
    <cfRule type="cellIs" dxfId="144" priority="162" operator="equal">
      <formula>#N/A</formula>
    </cfRule>
  </conditionalFormatting>
  <conditionalFormatting sqref="G36">
    <cfRule type="cellIs" dxfId="143" priority="160" operator="equal">
      <formula>#N/A</formula>
    </cfRule>
  </conditionalFormatting>
  <conditionalFormatting sqref="G38">
    <cfRule type="cellIs" dxfId="142" priority="159" operator="equal">
      <formula>#N/A</formula>
    </cfRule>
  </conditionalFormatting>
  <conditionalFormatting sqref="G45">
    <cfRule type="cellIs" dxfId="141" priority="154" operator="equal">
      <formula>#N/A</formula>
    </cfRule>
  </conditionalFormatting>
  <conditionalFormatting sqref="G46">
    <cfRule type="cellIs" dxfId="140" priority="153" operator="equal">
      <formula>#N/A</formula>
    </cfRule>
  </conditionalFormatting>
  <conditionalFormatting sqref="G32">
    <cfRule type="cellIs" dxfId="139" priority="152" operator="equal">
      <formula>#N/A</formula>
    </cfRule>
  </conditionalFormatting>
  <conditionalFormatting sqref="G34">
    <cfRule type="cellIs" dxfId="138" priority="150" operator="equal">
      <formula>#N/A</formula>
    </cfRule>
  </conditionalFormatting>
  <conditionalFormatting sqref="G35">
    <cfRule type="cellIs" dxfId="137" priority="149" operator="equal">
      <formula>#N/A</formula>
    </cfRule>
  </conditionalFormatting>
  <conditionalFormatting sqref="G46">
    <cfRule type="cellIs" dxfId="136" priority="148" operator="equal">
      <formula>#N/A</formula>
    </cfRule>
  </conditionalFormatting>
  <conditionalFormatting sqref="G34">
    <cfRule type="cellIs" dxfId="135" priority="146" operator="equal">
      <formula>#N/A</formula>
    </cfRule>
  </conditionalFormatting>
  <conditionalFormatting sqref="G35">
    <cfRule type="cellIs" dxfId="134" priority="145" operator="equal">
      <formula>#N/A</formula>
    </cfRule>
  </conditionalFormatting>
  <conditionalFormatting sqref="G34">
    <cfRule type="cellIs" dxfId="133" priority="143" operator="equal">
      <formula>#N/A</formula>
    </cfRule>
  </conditionalFormatting>
  <conditionalFormatting sqref="G35">
    <cfRule type="cellIs" dxfId="132" priority="142" operator="equal">
      <formula>#N/A</formula>
    </cfRule>
  </conditionalFormatting>
  <conditionalFormatting sqref="G36">
    <cfRule type="cellIs" dxfId="131" priority="140" operator="equal">
      <formula>#N/A</formula>
    </cfRule>
  </conditionalFormatting>
  <conditionalFormatting sqref="G35">
    <cfRule type="cellIs" dxfId="130" priority="139" operator="equal">
      <formula>#N/A</formula>
    </cfRule>
  </conditionalFormatting>
  <conditionalFormatting sqref="G36">
    <cfRule type="cellIs" dxfId="129" priority="137" operator="equal">
      <formula>#N/A</formula>
    </cfRule>
  </conditionalFormatting>
  <conditionalFormatting sqref="G37">
    <cfRule type="cellIs" dxfId="128" priority="136" operator="equal">
      <formula>#N/A</formula>
    </cfRule>
  </conditionalFormatting>
  <conditionalFormatting sqref="G46">
    <cfRule type="cellIs" dxfId="127" priority="100" operator="equal">
      <formula>#N/A</formula>
    </cfRule>
  </conditionalFormatting>
  <conditionalFormatting sqref="G44">
    <cfRule type="cellIs" dxfId="126" priority="135" operator="equal">
      <formula>#N/A</formula>
    </cfRule>
  </conditionalFormatting>
  <conditionalFormatting sqref="G44">
    <cfRule type="cellIs" dxfId="125" priority="133" operator="equal">
      <formula>#N/A</formula>
    </cfRule>
  </conditionalFormatting>
  <conditionalFormatting sqref="G44">
    <cfRule type="cellIs" dxfId="124" priority="132" operator="equal">
      <formula>#N/A</formula>
    </cfRule>
  </conditionalFormatting>
  <conditionalFormatting sqref="G44">
    <cfRule type="cellIs" dxfId="123" priority="131" operator="equal">
      <formula>#N/A</formula>
    </cfRule>
  </conditionalFormatting>
  <conditionalFormatting sqref="G34">
    <cfRule type="cellIs" dxfId="122" priority="130" operator="equal">
      <formula>#N/A</formula>
    </cfRule>
  </conditionalFormatting>
  <conditionalFormatting sqref="G34">
    <cfRule type="cellIs" dxfId="121" priority="129" operator="equal">
      <formula>#N/A</formula>
    </cfRule>
  </conditionalFormatting>
  <conditionalFormatting sqref="G35">
    <cfRule type="cellIs" dxfId="120" priority="128" operator="equal">
      <formula>#N/A</formula>
    </cfRule>
  </conditionalFormatting>
  <conditionalFormatting sqref="G34">
    <cfRule type="cellIs" dxfId="119" priority="127" operator="equal">
      <formula>#N/A</formula>
    </cfRule>
  </conditionalFormatting>
  <conditionalFormatting sqref="G35">
    <cfRule type="cellIs" dxfId="118" priority="126" operator="equal">
      <formula>#N/A</formula>
    </cfRule>
  </conditionalFormatting>
  <conditionalFormatting sqref="G34">
    <cfRule type="cellIs" dxfId="117" priority="124" operator="equal">
      <formula>#N/A</formula>
    </cfRule>
  </conditionalFormatting>
  <conditionalFormatting sqref="G35">
    <cfRule type="cellIs" dxfId="116" priority="123" operator="equal">
      <formula>#N/A</formula>
    </cfRule>
  </conditionalFormatting>
  <conditionalFormatting sqref="G36">
    <cfRule type="cellIs" dxfId="115" priority="121" operator="equal">
      <formula>#N/A</formula>
    </cfRule>
  </conditionalFormatting>
  <conditionalFormatting sqref="G38">
    <cfRule type="cellIs" dxfId="114" priority="120" operator="equal">
      <formula>#N/A</formula>
    </cfRule>
  </conditionalFormatting>
  <conditionalFormatting sqref="G34">
    <cfRule type="cellIs" dxfId="113" priority="116" operator="equal">
      <formula>#N/A</formula>
    </cfRule>
  </conditionalFormatting>
  <conditionalFormatting sqref="G35">
    <cfRule type="cellIs" dxfId="112" priority="115" operator="equal">
      <formula>#N/A</formula>
    </cfRule>
  </conditionalFormatting>
  <conditionalFormatting sqref="G36">
    <cfRule type="cellIs" dxfId="111" priority="113" operator="equal">
      <formula>#N/A</formula>
    </cfRule>
  </conditionalFormatting>
  <conditionalFormatting sqref="G35">
    <cfRule type="cellIs" dxfId="110" priority="112" operator="equal">
      <formula>#N/A</formula>
    </cfRule>
  </conditionalFormatting>
  <conditionalFormatting sqref="G36">
    <cfRule type="cellIs" dxfId="109" priority="110" operator="equal">
      <formula>#N/A</formula>
    </cfRule>
  </conditionalFormatting>
  <conditionalFormatting sqref="G37">
    <cfRule type="cellIs" dxfId="108" priority="109" operator="equal">
      <formula>#N/A</formula>
    </cfRule>
  </conditionalFormatting>
  <conditionalFormatting sqref="G36">
    <cfRule type="cellIs" dxfId="107" priority="107" operator="equal">
      <formula>#N/A</formula>
    </cfRule>
  </conditionalFormatting>
  <conditionalFormatting sqref="G37">
    <cfRule type="cellIs" dxfId="106" priority="106" operator="equal">
      <formula>#N/A</formula>
    </cfRule>
  </conditionalFormatting>
  <conditionalFormatting sqref="G38">
    <cfRule type="cellIs" dxfId="105" priority="105" operator="equal">
      <formula>#N/A</formula>
    </cfRule>
  </conditionalFormatting>
  <conditionalFormatting sqref="G36">
    <cfRule type="cellIs" dxfId="104" priority="104" operator="equal">
      <formula>#N/A</formula>
    </cfRule>
  </conditionalFormatting>
  <conditionalFormatting sqref="G37">
    <cfRule type="cellIs" dxfId="103" priority="103" operator="equal">
      <formula>#N/A</formula>
    </cfRule>
  </conditionalFormatting>
  <conditionalFormatting sqref="G38">
    <cfRule type="cellIs" dxfId="102" priority="102" operator="equal">
      <formula>#N/A</formula>
    </cfRule>
  </conditionalFormatting>
  <conditionalFormatting sqref="G39">
    <cfRule type="cellIs" dxfId="101" priority="101" operator="equal">
      <formula>#N/A</formula>
    </cfRule>
  </conditionalFormatting>
  <conditionalFormatting sqref="G46">
    <cfRule type="cellIs" dxfId="100" priority="98" operator="equal">
      <formula>#N/A</formula>
    </cfRule>
  </conditionalFormatting>
  <conditionalFormatting sqref="G46">
    <cfRule type="cellIs" dxfId="99" priority="97" operator="equal">
      <formula>#N/A</formula>
    </cfRule>
  </conditionalFormatting>
  <conditionalFormatting sqref="G46">
    <cfRule type="cellIs" dxfId="98" priority="96" operator="equal">
      <formula>#N/A</formula>
    </cfRule>
  </conditionalFormatting>
  <conditionalFormatting sqref="G36">
    <cfRule type="cellIs" dxfId="97" priority="93" operator="equal">
      <formula>#N/A</formula>
    </cfRule>
  </conditionalFormatting>
  <conditionalFormatting sqref="G36">
    <cfRule type="cellIs" dxfId="96" priority="91" operator="equal">
      <formula>#N/A</formula>
    </cfRule>
  </conditionalFormatting>
  <conditionalFormatting sqref="G37">
    <cfRule type="cellIs" dxfId="95" priority="90" operator="equal">
      <formula>#N/A</formula>
    </cfRule>
  </conditionalFormatting>
  <conditionalFormatting sqref="G36">
    <cfRule type="cellIs" dxfId="94" priority="88" operator="equal">
      <formula>#N/A</formula>
    </cfRule>
  </conditionalFormatting>
  <conditionalFormatting sqref="G37">
    <cfRule type="cellIs" dxfId="93" priority="87" operator="equal">
      <formula>#N/A</formula>
    </cfRule>
  </conditionalFormatting>
  <conditionalFormatting sqref="G38">
    <cfRule type="cellIs" dxfId="92" priority="86" operator="equal">
      <formula>#N/A</formula>
    </cfRule>
  </conditionalFormatting>
  <conditionalFormatting sqref="G40">
    <cfRule type="cellIs" dxfId="91" priority="85" operator="equal">
      <formula>#N/A</formula>
    </cfRule>
  </conditionalFormatting>
  <conditionalFormatting sqref="G31">
    <cfRule type="cellIs" dxfId="90" priority="79" operator="equal">
      <formula>#N/A</formula>
    </cfRule>
  </conditionalFormatting>
  <conditionalFormatting sqref="G31">
    <cfRule type="cellIs" dxfId="89" priority="77" operator="equal">
      <formula>#N/A</formula>
    </cfRule>
  </conditionalFormatting>
  <conditionalFormatting sqref="G31">
    <cfRule type="cellIs" dxfId="88" priority="76" operator="equal">
      <formula>#N/A</formula>
    </cfRule>
  </conditionalFormatting>
  <conditionalFormatting sqref="G31">
    <cfRule type="cellIs" dxfId="87" priority="75" operator="equal">
      <formula>#N/A</formula>
    </cfRule>
  </conditionalFormatting>
  <conditionalFormatting sqref="G31">
    <cfRule type="cellIs" dxfId="86" priority="74" operator="equal">
      <formula>#N/A</formula>
    </cfRule>
  </conditionalFormatting>
  <conditionalFormatting sqref="G31">
    <cfRule type="cellIs" dxfId="85" priority="73" operator="equal">
      <formula>#N/A</formula>
    </cfRule>
  </conditionalFormatting>
  <conditionalFormatting sqref="G31">
    <cfRule type="cellIs" dxfId="84" priority="72" operator="equal">
      <formula>#N/A</formula>
    </cfRule>
  </conditionalFormatting>
  <conditionalFormatting sqref="G31">
    <cfRule type="cellIs" dxfId="83" priority="71" operator="equal">
      <formula>#N/A</formula>
    </cfRule>
  </conditionalFormatting>
  <conditionalFormatting sqref="G31">
    <cfRule type="cellIs" dxfId="82" priority="70" operator="equal">
      <formula>#N/A</formula>
    </cfRule>
  </conditionalFormatting>
  <conditionalFormatting sqref="G31">
    <cfRule type="cellIs" dxfId="81" priority="69" operator="equal">
      <formula>#N/A</formula>
    </cfRule>
  </conditionalFormatting>
  <conditionalFormatting sqref="G45">
    <cfRule type="cellIs" dxfId="80" priority="66" operator="equal">
      <formula>#N/A</formula>
    </cfRule>
  </conditionalFormatting>
  <conditionalFormatting sqref="G46">
    <cfRule type="cellIs" dxfId="79" priority="65" operator="equal">
      <formula>#N/A</formula>
    </cfRule>
  </conditionalFormatting>
  <conditionalFormatting sqref="G46">
    <cfRule type="cellIs" dxfId="78" priority="64" operator="equal">
      <formula>#N/A</formula>
    </cfRule>
  </conditionalFormatting>
  <conditionalFormatting sqref="G47">
    <cfRule type="cellIs" dxfId="77" priority="63" operator="equal">
      <formula>#N/A</formula>
    </cfRule>
  </conditionalFormatting>
  <conditionalFormatting sqref="G48">
    <cfRule type="cellIs" dxfId="76" priority="62" operator="equal">
      <formula>#N/A</formula>
    </cfRule>
  </conditionalFormatting>
  <conditionalFormatting sqref="G48">
    <cfRule type="cellIs" dxfId="75" priority="61" operator="equal">
      <formula>#N/A</formula>
    </cfRule>
  </conditionalFormatting>
  <conditionalFormatting sqref="G46">
    <cfRule type="cellIs" dxfId="74" priority="60" operator="equal">
      <formula>#N/A</formula>
    </cfRule>
  </conditionalFormatting>
  <conditionalFormatting sqref="G46">
    <cfRule type="cellIs" dxfId="73" priority="58" operator="equal">
      <formula>#N/A</formula>
    </cfRule>
  </conditionalFormatting>
  <conditionalFormatting sqref="G46">
    <cfRule type="cellIs" dxfId="72" priority="57" operator="equal">
      <formula>#N/A</formula>
    </cfRule>
  </conditionalFormatting>
  <conditionalFormatting sqref="G46">
    <cfRule type="cellIs" dxfId="71" priority="56" operator="equal">
      <formula>#N/A</formula>
    </cfRule>
  </conditionalFormatting>
  <conditionalFormatting sqref="G47">
    <cfRule type="cellIs" dxfId="70" priority="55" operator="equal">
      <formula>#N/A</formula>
    </cfRule>
  </conditionalFormatting>
  <conditionalFormatting sqref="G48">
    <cfRule type="cellIs" dxfId="69" priority="54" operator="equal">
      <formula>#N/A</formula>
    </cfRule>
  </conditionalFormatting>
  <conditionalFormatting sqref="G48">
    <cfRule type="cellIs" dxfId="68" priority="53" operator="equal">
      <formula>#N/A</formula>
    </cfRule>
  </conditionalFormatting>
  <conditionalFormatting sqref="G48">
    <cfRule type="cellIs" dxfId="67" priority="47" operator="equal">
      <formula>#N/A</formula>
    </cfRule>
  </conditionalFormatting>
  <conditionalFormatting sqref="G46">
    <cfRule type="cellIs" dxfId="66" priority="52" operator="equal">
      <formula>#N/A</formula>
    </cfRule>
  </conditionalFormatting>
  <conditionalFormatting sqref="G46">
    <cfRule type="cellIs" dxfId="65" priority="50" operator="equal">
      <formula>#N/A</formula>
    </cfRule>
  </conditionalFormatting>
  <conditionalFormatting sqref="G46">
    <cfRule type="cellIs" dxfId="64" priority="49" operator="equal">
      <formula>#N/A</formula>
    </cfRule>
  </conditionalFormatting>
  <conditionalFormatting sqref="G46">
    <cfRule type="cellIs" dxfId="63" priority="48" operator="equal">
      <formula>#N/A</formula>
    </cfRule>
  </conditionalFormatting>
  <conditionalFormatting sqref="G48">
    <cfRule type="cellIs" dxfId="62" priority="45" operator="equal">
      <formula>#N/A</formula>
    </cfRule>
  </conditionalFormatting>
  <conditionalFormatting sqref="G48">
    <cfRule type="cellIs" dxfId="61" priority="44" operator="equal">
      <formula>#N/A</formula>
    </cfRule>
  </conditionalFormatting>
  <conditionalFormatting sqref="G48">
    <cfRule type="cellIs" dxfId="60" priority="43" operator="equal">
      <formula>#N/A</formula>
    </cfRule>
  </conditionalFormatting>
  <conditionalFormatting sqref="G33">
    <cfRule type="cellIs" dxfId="59" priority="42" operator="equal">
      <formula>#N/A</formula>
    </cfRule>
  </conditionalFormatting>
  <conditionalFormatting sqref="G30">
    <cfRule type="cellIs" dxfId="58" priority="38" operator="equal">
      <formula>#N/A</formula>
    </cfRule>
  </conditionalFormatting>
  <conditionalFormatting sqref="G30">
    <cfRule type="cellIs" dxfId="57" priority="36" operator="equal">
      <formula>#N/A</formula>
    </cfRule>
  </conditionalFormatting>
  <conditionalFormatting sqref="G30">
    <cfRule type="cellIs" dxfId="56" priority="35" operator="equal">
      <formula>#N/A</formula>
    </cfRule>
  </conditionalFormatting>
  <conditionalFormatting sqref="G30">
    <cfRule type="cellIs" dxfId="55" priority="34" operator="equal">
      <formula>#N/A</formula>
    </cfRule>
  </conditionalFormatting>
  <conditionalFormatting sqref="G30">
    <cfRule type="cellIs" dxfId="54" priority="33" operator="equal">
      <formula>#N/A</formula>
    </cfRule>
  </conditionalFormatting>
  <conditionalFormatting sqref="G30">
    <cfRule type="cellIs" dxfId="53" priority="32" operator="equal">
      <formula>#N/A</formula>
    </cfRule>
  </conditionalFormatting>
  <conditionalFormatting sqref="G30">
    <cfRule type="cellIs" dxfId="52" priority="31" operator="equal">
      <formula>#N/A</formula>
    </cfRule>
  </conditionalFormatting>
  <conditionalFormatting sqref="G30">
    <cfRule type="cellIs" dxfId="51" priority="30" operator="equal">
      <formula>#N/A</formula>
    </cfRule>
  </conditionalFormatting>
  <conditionalFormatting sqref="G30">
    <cfRule type="cellIs" dxfId="50" priority="29" operator="equal">
      <formula>#N/A</formula>
    </cfRule>
  </conditionalFormatting>
  <conditionalFormatting sqref="G30">
    <cfRule type="cellIs" dxfId="49" priority="28" operator="equal">
      <formula>#N/A</formula>
    </cfRule>
  </conditionalFormatting>
  <conditionalFormatting sqref="G5:G6">
    <cfRule type="cellIs" dxfId="48" priority="21" operator="equal">
      <formula>#N/A</formula>
    </cfRule>
  </conditionalFormatting>
  <conditionalFormatting sqref="G22">
    <cfRule type="cellIs" dxfId="47" priority="17" operator="equal">
      <formula>#N/A</formula>
    </cfRule>
  </conditionalFormatting>
  <conditionalFormatting sqref="G8">
    <cfRule type="cellIs" dxfId="46" priority="19" operator="equal">
      <formula>#N/A</formula>
    </cfRule>
  </conditionalFormatting>
  <conditionalFormatting sqref="G27">
    <cfRule type="cellIs" dxfId="45" priority="18" operator="equal">
      <formula>#N/A</formula>
    </cfRule>
  </conditionalFormatting>
  <conditionalFormatting sqref="H7:H16 H18:H105">
    <cfRule type="cellIs" dxfId="44" priority="9" operator="equal">
      <formula>"Return"</formula>
    </cfRule>
    <cfRule type="cellIs" dxfId="43" priority="10" operator="equal">
      <formula>"Customer Pickup"</formula>
    </cfRule>
    <cfRule type="cellIs" dxfId="42" priority="11" operator="equal">
      <formula>"Bluestar Logistics"</formula>
    </cfRule>
  </conditionalFormatting>
  <conditionalFormatting sqref="B17">
    <cfRule type="cellIs" dxfId="41" priority="2" operator="equal">
      <formula>"Return"</formula>
    </cfRule>
    <cfRule type="cellIs" dxfId="40" priority="3" operator="equal">
      <formula>"Customer Pickup"</formula>
    </cfRule>
    <cfRule type="cellIs" dxfId="39" priority="4" operator="equal">
      <formula>"Bluestar Logistics"</formula>
    </cfRule>
  </conditionalFormatting>
  <conditionalFormatting sqref="E18:E105">
    <cfRule type="duplicateValues" dxfId="38" priority="1"/>
  </conditionalFormatting>
  <pageMargins left="0.7" right="0.7" top="0.75" bottom="0.75" header="0.3" footer="0.3"/>
  <pageSetup paperSize="9" scale="78" orientation="landscape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Print_CoverSheet.Print_CoverSheet">
                <anchor moveWithCells="1" sizeWithCells="1">
                  <from>
                    <xdr:col>12</xdr:col>
                    <xdr:colOff>0</xdr:colOff>
                    <xdr:row>1</xdr:row>
                    <xdr:rowOff>504825</xdr:rowOff>
                  </from>
                  <to>
                    <xdr:col>14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BillofLading.BillofLading">
                <anchor moveWithCells="1" sizeWithCells="1">
                  <from>
                    <xdr:col>10</xdr:col>
                    <xdr:colOff>0</xdr:colOff>
                    <xdr:row>22</xdr:row>
                    <xdr:rowOff>0</xdr:rowOff>
                  </from>
                  <to>
                    <xdr:col>11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Ship_Pickup">
                <anchor moveWithCells="1" sizeWithCells="1">
                  <from>
                    <xdr:col>11</xdr:col>
                    <xdr:colOff>19050</xdr:colOff>
                    <xdr:row>6</xdr:row>
                    <xdr:rowOff>9525</xdr:rowOff>
                  </from>
                  <to>
                    <xdr:col>11</xdr:col>
                    <xdr:colOff>1485900</xdr:colOff>
                    <xdr:row>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Ship_Bluestar">
                <anchor moveWithCells="1" sizeWithCells="1">
                  <from>
                    <xdr:col>10</xdr:col>
                    <xdr:colOff>0</xdr:colOff>
                    <xdr:row>24</xdr:row>
                    <xdr:rowOff>0</xdr:rowOff>
                  </from>
                  <to>
                    <xdr:col>11</xdr:col>
                    <xdr:colOff>0</xdr:colOff>
                    <xdr:row>25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Open_Delivery_List">
                <anchor moveWithCells="1" sizeWithCells="1">
                  <from>
                    <xdr:col>10</xdr:col>
                    <xdr:colOff>1276350</xdr:colOff>
                    <xdr:row>22</xdr:row>
                    <xdr:rowOff>0</xdr:rowOff>
                  </from>
                  <to>
                    <xdr:col>11</xdr:col>
                    <xdr:colOff>1495425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>
    <pageSetUpPr fitToPage="1"/>
  </sheetPr>
  <dimension ref="A1:Z106"/>
  <sheetViews>
    <sheetView topLeftCell="B2" zoomScaleNormal="100" zoomScaleSheetLayoutView="100" workbookViewId="0">
      <pane ySplit="4" topLeftCell="A6" activePane="bottomLeft" state="frozen"/>
      <selection activeCell="G31" sqref="G31"/>
      <selection pane="bottomLeft" activeCell="G31" sqref="G31"/>
    </sheetView>
  </sheetViews>
  <sheetFormatPr defaultRowHeight="15" x14ac:dyDescent="0.25"/>
  <cols>
    <col min="1" max="1" width="2.85546875" hidden="1" customWidth="1"/>
    <col min="2" max="2" width="9.42578125" customWidth="1"/>
    <col min="3" max="3" width="12.140625" customWidth="1"/>
    <col min="4" max="4" width="12.85546875" customWidth="1"/>
    <col min="5" max="5" width="13.85546875" customWidth="1"/>
    <col min="6" max="6" width="16" customWidth="1"/>
    <col min="7" max="7" width="38.85546875" customWidth="1"/>
    <col min="8" max="8" width="20.5703125" style="152" customWidth="1"/>
    <col min="9" max="9" width="11.85546875" customWidth="1"/>
    <col min="10" max="10" width="30" customWidth="1"/>
    <col min="11" max="11" width="18.42578125" customWidth="1"/>
    <col min="12" max="12" width="19.5703125" customWidth="1"/>
    <col min="13" max="13" width="0" hidden="1" customWidth="1"/>
    <col min="14" max="14" width="19.5703125" customWidth="1"/>
    <col min="26" max="26" width="0" hidden="1" customWidth="1"/>
  </cols>
  <sheetData>
    <row r="1" spans="1:26" ht="36.75" hidden="1" customHeight="1" thickBot="1" x14ac:dyDescent="0.3">
      <c r="A1" s="1"/>
      <c r="B1" s="1"/>
      <c r="C1" s="1"/>
      <c r="D1" s="1"/>
      <c r="E1" s="2"/>
      <c r="F1" s="1"/>
      <c r="G1" s="1"/>
      <c r="H1" s="3"/>
      <c r="I1" s="1"/>
      <c r="J1" s="4"/>
      <c r="K1" s="4"/>
      <c r="L1" s="4"/>
    </row>
    <row r="2" spans="1:26" ht="66.75" customHeight="1" thickBot="1" x14ac:dyDescent="0.55000000000000004">
      <c r="A2" s="30"/>
      <c r="B2" s="86"/>
      <c r="C2" s="30"/>
      <c r="D2" s="87"/>
      <c r="E2" s="148" t="s">
        <v>11</v>
      </c>
      <c r="F2" s="30"/>
      <c r="G2" s="30"/>
      <c r="H2" s="150"/>
      <c r="I2" s="159" t="s">
        <v>23</v>
      </c>
      <c r="J2" s="157">
        <f>Monday!J2</f>
        <v>43835</v>
      </c>
      <c r="K2" s="252">
        <f>J2-2</f>
        <v>43833</v>
      </c>
      <c r="L2" s="256"/>
    </row>
    <row r="3" spans="1:26" ht="15.75" hidden="1" thickBot="1" x14ac:dyDescent="0.3">
      <c r="A3" s="94"/>
      <c r="B3" s="102"/>
      <c r="C3" s="102"/>
      <c r="D3" s="103"/>
      <c r="E3" s="95"/>
      <c r="F3" s="95"/>
      <c r="G3" s="95"/>
      <c r="H3" s="151"/>
      <c r="I3" s="95"/>
      <c r="J3" s="95"/>
      <c r="K3" s="95"/>
      <c r="L3" s="95"/>
    </row>
    <row r="4" spans="1:26" ht="24" hidden="1" customHeight="1" thickBot="1" x14ac:dyDescent="0.4">
      <c r="A4" s="67"/>
      <c r="B4" s="63"/>
      <c r="C4" s="64"/>
      <c r="D4" s="65"/>
      <c r="E4" s="69"/>
      <c r="F4" s="70"/>
      <c r="G4" s="251"/>
      <c r="H4" s="243"/>
      <c r="I4" s="65"/>
      <c r="J4" s="65"/>
      <c r="K4" s="65"/>
      <c r="L4" s="65"/>
    </row>
    <row r="5" spans="1:26" ht="27.75" customHeight="1" thickBot="1" x14ac:dyDescent="0.3">
      <c r="A5" s="98"/>
      <c r="B5" s="99" t="s">
        <v>0</v>
      </c>
      <c r="C5" s="99" t="s">
        <v>1</v>
      </c>
      <c r="D5" s="99" t="s">
        <v>462</v>
      </c>
      <c r="E5" s="99" t="s">
        <v>2</v>
      </c>
      <c r="F5" s="99" t="s">
        <v>14</v>
      </c>
      <c r="G5" s="99" t="s">
        <v>455</v>
      </c>
      <c r="H5" s="99" t="s">
        <v>461</v>
      </c>
      <c r="I5" s="99" t="s">
        <v>3</v>
      </c>
      <c r="J5" s="99" t="s">
        <v>517</v>
      </c>
      <c r="K5" s="249" t="s">
        <v>522</v>
      </c>
      <c r="L5" s="250"/>
    </row>
    <row r="6" spans="1:26" ht="15.75" thickBot="1" x14ac:dyDescent="0.3">
      <c r="A6" s="160">
        <v>30</v>
      </c>
      <c r="B6" s="184"/>
      <c r="C6" s="185"/>
      <c r="D6" s="244" t="s">
        <v>518</v>
      </c>
      <c r="E6" s="245"/>
      <c r="F6" s="245"/>
      <c r="G6" s="245"/>
      <c r="H6" s="245"/>
      <c r="I6" s="245"/>
      <c r="J6" s="246"/>
      <c r="K6" s="192" t="s">
        <v>523</v>
      </c>
      <c r="L6" s="193"/>
      <c r="Z6" s="203">
        <v>3200543</v>
      </c>
    </row>
    <row r="7" spans="1:26" x14ac:dyDescent="0.25">
      <c r="A7" s="59">
        <v>1</v>
      </c>
      <c r="B7" s="60" t="s">
        <v>30</v>
      </c>
      <c r="C7" s="68">
        <f>Monday!C7+4</f>
        <v>43833</v>
      </c>
      <c r="D7" s="180"/>
      <c r="E7" s="180"/>
      <c r="F7" s="180"/>
      <c r="G7" s="180"/>
      <c r="H7" s="180" t="str">
        <f>IF(G7="","",(VLOOKUP(Z7,'Reference List'!$B$3:$D$173,2,FALSE)))</f>
        <v/>
      </c>
      <c r="I7" s="181" t="str">
        <f>IF(G7="","",(VLOOKUP(Z7,'Reference List'!$B$3:$F$202,5,FALSE)))</f>
        <v/>
      </c>
      <c r="J7" s="180"/>
      <c r="K7" s="180"/>
      <c r="L7" s="180"/>
      <c r="O7" s="79"/>
      <c r="Z7" s="203">
        <v>3200543</v>
      </c>
    </row>
    <row r="8" spans="1:26" x14ac:dyDescent="0.25">
      <c r="A8" s="47">
        <v>2</v>
      </c>
      <c r="B8" s="60" t="s">
        <v>32</v>
      </c>
      <c r="C8" s="54">
        <f>+C7</f>
        <v>43833</v>
      </c>
      <c r="D8" s="180"/>
      <c r="E8" s="180"/>
      <c r="F8" s="180"/>
      <c r="G8" s="180"/>
      <c r="H8" s="180" t="str">
        <f>IF(G8="","",(VLOOKUP(Z8,'Reference List'!$B$3:$D$173,2,FALSE)))</f>
        <v/>
      </c>
      <c r="I8" s="181" t="str">
        <f>IF(G8="","",(VLOOKUP(Z8,'Reference List'!$B$3:$F$202,5,FALSE)))</f>
        <v/>
      </c>
      <c r="J8" s="180"/>
      <c r="K8" s="180"/>
      <c r="L8" s="180"/>
      <c r="O8" s="79"/>
      <c r="Z8" s="203">
        <v>3200543</v>
      </c>
    </row>
    <row r="9" spans="1:26" x14ac:dyDescent="0.25">
      <c r="A9" s="47">
        <v>3</v>
      </c>
      <c r="B9" s="60" t="s">
        <v>31</v>
      </c>
      <c r="C9" s="54">
        <f>+C8</f>
        <v>43833</v>
      </c>
      <c r="D9" s="180"/>
      <c r="E9" s="180"/>
      <c r="F9" s="180"/>
      <c r="G9" s="180"/>
      <c r="H9" s="180" t="str">
        <f>IF(G9="","",(VLOOKUP(Z9,'Reference List'!$B$3:$D$173,2,FALSE)))</f>
        <v/>
      </c>
      <c r="I9" s="181" t="str">
        <f>IF(G9="","",(VLOOKUP(Z9,'Reference List'!$B$3:$F$202,5,FALSE)))</f>
        <v/>
      </c>
      <c r="J9" s="180"/>
      <c r="K9" s="180"/>
      <c r="L9" s="180"/>
      <c r="Z9" s="203">
        <v>3200543</v>
      </c>
    </row>
    <row r="10" spans="1:26" x14ac:dyDescent="0.25">
      <c r="A10" s="47">
        <v>4</v>
      </c>
      <c r="B10" s="60" t="s">
        <v>33</v>
      </c>
      <c r="C10" s="54">
        <f t="shared" ref="C10:C24" si="0">+C9</f>
        <v>43833</v>
      </c>
      <c r="D10" s="180"/>
      <c r="E10" s="180"/>
      <c r="F10" s="180"/>
      <c r="G10" s="180"/>
      <c r="H10" s="180" t="str">
        <f>IF(G10="","",(VLOOKUP(Z10,'Reference List'!$B$3:$D$173,2,FALSE)))</f>
        <v/>
      </c>
      <c r="I10" s="181" t="str">
        <f>IF(G10="","",(VLOOKUP(Z10,'Reference List'!$B$3:$F$202,5,FALSE)))</f>
        <v/>
      </c>
      <c r="J10" s="180"/>
      <c r="K10" s="180"/>
      <c r="L10" s="182"/>
      <c r="Z10" s="203">
        <v>3200543</v>
      </c>
    </row>
    <row r="11" spans="1:26" x14ac:dyDescent="0.25">
      <c r="A11" s="47">
        <v>5</v>
      </c>
      <c r="B11" s="60" t="s">
        <v>34</v>
      </c>
      <c r="C11" s="54">
        <f t="shared" si="0"/>
        <v>43833</v>
      </c>
      <c r="D11" s="180"/>
      <c r="E11" s="180"/>
      <c r="F11" s="180"/>
      <c r="G11" s="180"/>
      <c r="H11" s="180" t="str">
        <f>IF(G11="","",(VLOOKUP(Z11,'Reference List'!$B$3:$D$173,2,FALSE)))</f>
        <v/>
      </c>
      <c r="I11" s="181" t="str">
        <f>IF(G11="","",(VLOOKUP(Z11,'Reference List'!$B$3:$F$202,5,FALSE)))</f>
        <v/>
      </c>
      <c r="J11" s="180"/>
      <c r="K11" s="180"/>
      <c r="L11" s="182"/>
      <c r="Z11" s="203">
        <v>3200543</v>
      </c>
    </row>
    <row r="12" spans="1:26" x14ac:dyDescent="0.25">
      <c r="A12" s="47">
        <v>6</v>
      </c>
      <c r="B12" s="60" t="s">
        <v>35</v>
      </c>
      <c r="C12" s="54">
        <f t="shared" si="0"/>
        <v>43833</v>
      </c>
      <c r="D12" s="180"/>
      <c r="E12" s="180"/>
      <c r="F12" s="180"/>
      <c r="G12" s="180"/>
      <c r="H12" s="180" t="str">
        <f>IF(G12="","",(VLOOKUP(Z12,'Reference List'!$B$3:$D$173,2,FALSE)))</f>
        <v/>
      </c>
      <c r="I12" s="181" t="str">
        <f>IF(G12="","",(VLOOKUP(Z12,'Reference List'!$B$3:$F$202,5,FALSE)))</f>
        <v/>
      </c>
      <c r="J12" s="180"/>
      <c r="K12" s="180"/>
      <c r="L12" s="182"/>
      <c r="Z12" s="203">
        <v>3200543</v>
      </c>
    </row>
    <row r="13" spans="1:26" x14ac:dyDescent="0.25">
      <c r="A13" s="47">
        <v>7</v>
      </c>
      <c r="B13" s="60" t="s">
        <v>36</v>
      </c>
      <c r="C13" s="54">
        <f t="shared" si="0"/>
        <v>43833</v>
      </c>
      <c r="D13" s="180"/>
      <c r="E13" s="180"/>
      <c r="F13" s="180"/>
      <c r="G13" s="180"/>
      <c r="H13" s="180" t="str">
        <f>IF(G13="","",(VLOOKUP(Z13,'Reference List'!$B$3:$D$173,2,FALSE)))</f>
        <v/>
      </c>
      <c r="I13" s="181" t="str">
        <f>IF(G13="","",(VLOOKUP(Z13,'Reference List'!$B$3:$F$202,5,FALSE)))</f>
        <v/>
      </c>
      <c r="J13" s="180"/>
      <c r="K13" s="180"/>
      <c r="L13" s="182"/>
      <c r="Z13" s="203">
        <v>3200543</v>
      </c>
    </row>
    <row r="14" spans="1:26" x14ac:dyDescent="0.25">
      <c r="A14" s="47">
        <v>8</v>
      </c>
      <c r="B14" s="60" t="s">
        <v>37</v>
      </c>
      <c r="C14" s="54">
        <f t="shared" si="0"/>
        <v>43833</v>
      </c>
      <c r="D14" s="180"/>
      <c r="E14" s="180"/>
      <c r="F14" s="180"/>
      <c r="G14" s="180"/>
      <c r="H14" s="180" t="str">
        <f>IF(G14="","",(VLOOKUP(Z14,'Reference List'!$B$3:$D$173,2,FALSE)))</f>
        <v/>
      </c>
      <c r="I14" s="181" t="str">
        <f>IF(G14="","",(VLOOKUP(Z14,'Reference List'!$B$3:$F$202,5,FALSE)))</f>
        <v/>
      </c>
      <c r="J14" s="180"/>
      <c r="K14" s="180"/>
      <c r="L14" s="180"/>
      <c r="Z14" s="203">
        <v>3200543</v>
      </c>
    </row>
    <row r="15" spans="1:26" x14ac:dyDescent="0.25">
      <c r="A15" s="47">
        <v>9</v>
      </c>
      <c r="B15" s="60" t="s">
        <v>38</v>
      </c>
      <c r="C15" s="54">
        <f t="shared" si="0"/>
        <v>43833</v>
      </c>
      <c r="D15" s="180"/>
      <c r="E15" s="180"/>
      <c r="F15" s="180"/>
      <c r="G15" s="180"/>
      <c r="H15" s="180" t="str">
        <f>IF(G15="","",(VLOOKUP(Z15,'Reference List'!$B$3:$D$173,2,FALSE)))</f>
        <v/>
      </c>
      <c r="I15" s="181" t="str">
        <f>IF(G15="","",(VLOOKUP(Z15,'Reference List'!$B$3:$F$202,5,FALSE)))</f>
        <v/>
      </c>
      <c r="J15" s="180"/>
      <c r="K15" s="180"/>
      <c r="L15" s="180"/>
      <c r="Z15" s="203">
        <v>3200543</v>
      </c>
    </row>
    <row r="16" spans="1:26" ht="15.75" thickBot="1" x14ac:dyDescent="0.3">
      <c r="A16" s="47">
        <v>10</v>
      </c>
      <c r="B16" s="164" t="s">
        <v>39</v>
      </c>
      <c r="C16" s="161">
        <f t="shared" si="0"/>
        <v>43833</v>
      </c>
      <c r="D16" s="186"/>
      <c r="E16" s="186"/>
      <c r="F16" s="186"/>
      <c r="G16" s="186"/>
      <c r="H16" s="180" t="str">
        <f>IF(G16="","",(VLOOKUP(Z16,'Reference List'!$B$3:$D$173,2,FALSE)))</f>
        <v/>
      </c>
      <c r="I16" s="181" t="str">
        <f>IF(G16="","",(VLOOKUP(Z16,'Reference List'!$B$3:$F$202,5,FALSE)))</f>
        <v/>
      </c>
      <c r="J16" s="186"/>
      <c r="K16" s="186"/>
      <c r="L16" s="186"/>
      <c r="Z16" s="203">
        <v>3200543</v>
      </c>
    </row>
    <row r="17" spans="1:26" ht="15.75" thickBot="1" x14ac:dyDescent="0.3">
      <c r="A17" s="160">
        <v>11</v>
      </c>
      <c r="B17" s="237" t="s">
        <v>529</v>
      </c>
      <c r="C17" s="238"/>
      <c r="D17" s="238"/>
      <c r="E17" s="238"/>
      <c r="F17" s="238"/>
      <c r="G17" s="238"/>
      <c r="H17" s="238"/>
      <c r="I17" s="238"/>
      <c r="J17" s="238"/>
      <c r="K17" s="238"/>
      <c r="L17" s="261">
        <f>COUNTA(D18:D105)</f>
        <v>0</v>
      </c>
      <c r="Z17" s="203">
        <v>3200543</v>
      </c>
    </row>
    <row r="18" spans="1:26" x14ac:dyDescent="0.25">
      <c r="A18" s="47">
        <v>12</v>
      </c>
      <c r="B18" s="180" t="s">
        <v>359</v>
      </c>
      <c r="C18" s="187">
        <f>+C16</f>
        <v>43833</v>
      </c>
      <c r="D18" s="180"/>
      <c r="E18" s="180"/>
      <c r="F18" s="180"/>
      <c r="G18" s="180"/>
      <c r="H18" s="180" t="str">
        <f>IF(G18="","",(VLOOKUP(Z18,'Reference List'!$B$3:$D$173,2,FALSE)))</f>
        <v/>
      </c>
      <c r="I18" s="181" t="str">
        <f>IF(G18="","",(VLOOKUP(Z18,'Reference List'!$B$3:$F$202,5,FALSE)))</f>
        <v/>
      </c>
      <c r="J18" s="197" t="str">
        <f>IF(LEFT(G18,8)="BUNNINGS","Loscam pallets only",IF(G18="MM ELECTRICAL BIBRA LAKE WA","Plain pallets only",""))</f>
        <v/>
      </c>
      <c r="K18" s="206" t="s">
        <v>519</v>
      </c>
      <c r="L18" s="208"/>
      <c r="Z18" s="203">
        <v>3200540</v>
      </c>
    </row>
    <row r="19" spans="1:26" x14ac:dyDescent="0.25">
      <c r="A19" s="47">
        <v>13</v>
      </c>
      <c r="B19" s="180" t="s">
        <v>360</v>
      </c>
      <c r="C19" s="187">
        <f t="shared" si="0"/>
        <v>43833</v>
      </c>
      <c r="D19" s="180"/>
      <c r="E19" s="180"/>
      <c r="F19" s="180"/>
      <c r="G19" s="180"/>
      <c r="H19" s="180" t="str">
        <f>IF(G19="","",(VLOOKUP(Z19,'Reference List'!$B$3:$D$173,2,FALSE)))</f>
        <v/>
      </c>
      <c r="I19" s="181" t="str">
        <f>IF(G19="","",(VLOOKUP(Z19,'Reference List'!$B$3:$F$202,5,FALSE)))</f>
        <v/>
      </c>
      <c r="J19" s="197" t="str">
        <f t="shared" ref="J19:J82" si="1">IF(LEFT(G19,8)="BUNNINGS","Loscam pallets only",IF(G19="MM ELECTRICAL BIBRA LAKE WA","Plain pallets only",""))</f>
        <v/>
      </c>
      <c r="K19" s="207" t="s">
        <v>520</v>
      </c>
      <c r="L19" s="209"/>
      <c r="Z19" s="203">
        <v>3200540</v>
      </c>
    </row>
    <row r="20" spans="1:26" x14ac:dyDescent="0.25">
      <c r="A20" s="47">
        <v>14</v>
      </c>
      <c r="B20" s="180" t="s">
        <v>361</v>
      </c>
      <c r="C20" s="187">
        <f t="shared" si="0"/>
        <v>43833</v>
      </c>
      <c r="D20" s="180"/>
      <c r="E20" s="180"/>
      <c r="F20" s="180"/>
      <c r="G20" s="180"/>
      <c r="H20" s="180" t="str">
        <f>IF(G20="","",(VLOOKUP(Z20,'Reference List'!$B$3:$D$173,2,FALSE)))</f>
        <v/>
      </c>
      <c r="I20" s="181" t="str">
        <f>IF(G20="","",(VLOOKUP(Z20,'Reference List'!$B$3:$F$202,5,FALSE)))</f>
        <v/>
      </c>
      <c r="J20" s="197" t="str">
        <f t="shared" si="1"/>
        <v/>
      </c>
      <c r="K20" s="207" t="s">
        <v>521</v>
      </c>
      <c r="L20" s="209"/>
      <c r="Z20" s="203">
        <v>3200540</v>
      </c>
    </row>
    <row r="21" spans="1:26" x14ac:dyDescent="0.25">
      <c r="A21" s="47">
        <v>15</v>
      </c>
      <c r="B21" s="180" t="s">
        <v>362</v>
      </c>
      <c r="C21" s="187">
        <f t="shared" si="0"/>
        <v>43833</v>
      </c>
      <c r="D21" s="180"/>
      <c r="E21" s="180"/>
      <c r="F21" s="180"/>
      <c r="G21" s="180" t="str">
        <f>IF(F21="","",(VLOOKUP(F21,'Reference List'!$B$3:$D$173,2,FALSE)))</f>
        <v/>
      </c>
      <c r="H21" s="180" t="str">
        <f>IF(G21="","",(VLOOKUP(Z21,'Reference List'!$B$3:$D$173,2,FALSE)))</f>
        <v/>
      </c>
      <c r="I21" s="181" t="str">
        <f>IF(G21="","",(VLOOKUP(Z21,'Reference List'!$B$3:$F$202,5,FALSE)))</f>
        <v/>
      </c>
      <c r="J21" s="197" t="str">
        <f t="shared" si="1"/>
        <v/>
      </c>
      <c r="K21" s="207" t="s">
        <v>554</v>
      </c>
      <c r="L21" s="209"/>
      <c r="Z21" s="203">
        <v>3200540</v>
      </c>
    </row>
    <row r="22" spans="1:26" ht="15.75" thickBot="1" x14ac:dyDescent="0.3">
      <c r="A22" s="47">
        <v>16</v>
      </c>
      <c r="B22" s="180" t="s">
        <v>363</v>
      </c>
      <c r="C22" s="187">
        <f t="shared" si="0"/>
        <v>43833</v>
      </c>
      <c r="D22" s="180"/>
      <c r="E22" s="180"/>
      <c r="F22" s="180"/>
      <c r="G22" s="180" t="str">
        <f>IF(F22="","",(VLOOKUP(F22,'Reference List'!$B$3:$D$173,2,FALSE)))</f>
        <v/>
      </c>
      <c r="H22" s="180" t="str">
        <f>IF(G22="","",(VLOOKUP(Z22,'Reference List'!$B$3:$D$173,2,FALSE)))</f>
        <v/>
      </c>
      <c r="I22" s="181" t="str">
        <f>IF(G22="","",(VLOOKUP(Z22,'Reference List'!$B$3:$F$202,5,FALSE)))</f>
        <v/>
      </c>
      <c r="J22" s="197" t="str">
        <f t="shared" si="1"/>
        <v/>
      </c>
      <c r="K22" s="210" t="s">
        <v>555</v>
      </c>
      <c r="L22" s="211"/>
      <c r="Z22" s="203">
        <v>3200540</v>
      </c>
    </row>
    <row r="23" spans="1:26" x14ac:dyDescent="0.25">
      <c r="A23" s="47">
        <v>17</v>
      </c>
      <c r="B23" s="180" t="s">
        <v>364</v>
      </c>
      <c r="C23" s="187">
        <f t="shared" si="0"/>
        <v>43833</v>
      </c>
      <c r="D23" s="180"/>
      <c r="E23" s="180"/>
      <c r="F23" s="180"/>
      <c r="G23" s="180" t="str">
        <f>IF(F23="","",(VLOOKUP(F23,'Reference List'!$B$3:$D$173,2,FALSE)))</f>
        <v/>
      </c>
      <c r="H23" s="180" t="str">
        <f>IF(G23="","",(VLOOKUP(Z23,'Reference List'!$B$3:$D$173,2,FALSE)))</f>
        <v/>
      </c>
      <c r="I23" s="181" t="str">
        <f>IF(G23="","",(VLOOKUP(Z23,'Reference List'!$B$3:$F$202,5,FALSE)))</f>
        <v/>
      </c>
      <c r="J23" s="197" t="str">
        <f t="shared" si="1"/>
        <v/>
      </c>
      <c r="K23" s="205"/>
      <c r="L23" s="205"/>
      <c r="Z23" s="203">
        <v>3200540</v>
      </c>
    </row>
    <row r="24" spans="1:26" x14ac:dyDescent="0.25">
      <c r="A24" s="47">
        <v>18</v>
      </c>
      <c r="B24" s="180" t="s">
        <v>365</v>
      </c>
      <c r="C24" s="187">
        <f t="shared" si="0"/>
        <v>43833</v>
      </c>
      <c r="D24" s="180"/>
      <c r="E24" s="180"/>
      <c r="F24" s="180"/>
      <c r="G24" s="180" t="str">
        <f>IF(F24="","",(VLOOKUP(F24,'Reference List'!$B$3:$D$173,2,FALSE)))</f>
        <v/>
      </c>
      <c r="H24" s="180" t="str">
        <f>IF(G24="","",(VLOOKUP(Z24,'Reference List'!$B$3:$D$173,2,FALSE)))</f>
        <v/>
      </c>
      <c r="I24" s="181" t="str">
        <f>IF(G24="","",(VLOOKUP(Z24,'Reference List'!$B$3:$F$202,5,FALSE)))</f>
        <v/>
      </c>
      <c r="J24" s="197" t="str">
        <f t="shared" si="1"/>
        <v/>
      </c>
      <c r="K24" s="180"/>
      <c r="L24" s="180"/>
      <c r="Z24" s="203">
        <v>3200540</v>
      </c>
    </row>
    <row r="25" spans="1:26" x14ac:dyDescent="0.25">
      <c r="A25" s="59">
        <v>19</v>
      </c>
      <c r="B25" s="180" t="s">
        <v>366</v>
      </c>
      <c r="C25" s="187">
        <f>+C24</f>
        <v>43833</v>
      </c>
      <c r="D25" s="180"/>
      <c r="E25" s="180"/>
      <c r="F25" s="180"/>
      <c r="G25" s="180"/>
      <c r="H25" s="180" t="str">
        <f>IF(G25="","",(VLOOKUP(Z25,'Reference List'!$B$3:$D$173,2,FALSE)))</f>
        <v/>
      </c>
      <c r="I25" s="181" t="str">
        <f>IF(G25="","",(VLOOKUP(Z25,'Reference List'!$B$3:$F$202,5,FALSE)))</f>
        <v/>
      </c>
      <c r="J25" s="197" t="str">
        <f t="shared" si="1"/>
        <v/>
      </c>
      <c r="K25" s="180"/>
      <c r="L25" s="182"/>
      <c r="Z25" s="203">
        <v>3200540</v>
      </c>
    </row>
    <row r="26" spans="1:26" x14ac:dyDescent="0.25">
      <c r="A26" s="59">
        <v>20</v>
      </c>
      <c r="B26" s="180" t="s">
        <v>367</v>
      </c>
      <c r="C26" s="187">
        <f>+C25</f>
        <v>43833</v>
      </c>
      <c r="D26" s="180"/>
      <c r="E26" s="180"/>
      <c r="F26" s="180"/>
      <c r="G26" s="180"/>
      <c r="H26" s="180" t="str">
        <f>IF(G26="","",(VLOOKUP(Z26,'Reference List'!$B$3:$D$173,2,FALSE)))</f>
        <v/>
      </c>
      <c r="I26" s="181" t="str">
        <f>IF(G26="","",(VLOOKUP(Z26,'Reference List'!$B$3:$F$202,5,FALSE)))</f>
        <v/>
      </c>
      <c r="J26" s="197" t="str">
        <f t="shared" si="1"/>
        <v/>
      </c>
      <c r="K26" s="180"/>
      <c r="L26" s="180"/>
      <c r="Z26" s="203">
        <v>3200540</v>
      </c>
    </row>
    <row r="27" spans="1:26" x14ac:dyDescent="0.25">
      <c r="A27" s="47">
        <v>21</v>
      </c>
      <c r="B27" s="180" t="s">
        <v>368</v>
      </c>
      <c r="C27" s="187">
        <f t="shared" ref="C27:C90" si="2">+C26</f>
        <v>43833</v>
      </c>
      <c r="D27" s="180"/>
      <c r="E27" s="180"/>
      <c r="F27" s="180"/>
      <c r="G27" s="196"/>
      <c r="H27" s="180" t="str">
        <f>IF(G27="","",(VLOOKUP(Z27,'Reference List'!$B$3:$D$173,2,FALSE)))</f>
        <v/>
      </c>
      <c r="I27" s="181" t="str">
        <f>IF(G27="","",(VLOOKUP(Z27,'Reference List'!$B$3:$F$202,5,FALSE)))</f>
        <v/>
      </c>
      <c r="J27" s="197" t="str">
        <f t="shared" si="1"/>
        <v/>
      </c>
      <c r="K27" s="180"/>
      <c r="L27" s="182"/>
      <c r="Z27" s="203">
        <v>3200540</v>
      </c>
    </row>
    <row r="28" spans="1:26" x14ac:dyDescent="0.25">
      <c r="A28" s="47">
        <v>22</v>
      </c>
      <c r="B28" s="180" t="s">
        <v>369</v>
      </c>
      <c r="C28" s="187">
        <f t="shared" si="2"/>
        <v>43833</v>
      </c>
      <c r="D28" s="180"/>
      <c r="E28" s="180"/>
      <c r="F28" s="180"/>
      <c r="G28" s="180"/>
      <c r="H28" s="180" t="str">
        <f>IF(G28="","",(VLOOKUP(Z28,'Reference List'!$B$3:$D$173,2,FALSE)))</f>
        <v/>
      </c>
      <c r="I28" s="181" t="str">
        <f>IF(G28="","",(VLOOKUP(Z28,'Reference List'!$B$3:$F$202,5,FALSE)))</f>
        <v/>
      </c>
      <c r="J28" s="197" t="str">
        <f t="shared" si="1"/>
        <v/>
      </c>
      <c r="K28" s="180"/>
      <c r="L28" s="182"/>
      <c r="Z28" s="203">
        <v>3200540</v>
      </c>
    </row>
    <row r="29" spans="1:26" x14ac:dyDescent="0.25">
      <c r="A29" s="59">
        <v>23</v>
      </c>
      <c r="B29" s="180" t="s">
        <v>370</v>
      </c>
      <c r="C29" s="187">
        <f t="shared" si="2"/>
        <v>43833</v>
      </c>
      <c r="D29" s="180"/>
      <c r="E29" s="180"/>
      <c r="F29" s="180"/>
      <c r="G29" s="180"/>
      <c r="H29" s="180" t="str">
        <f>IF(G29="","",(VLOOKUP(Z29,'Reference List'!$B$3:$D$173,2,FALSE)))</f>
        <v/>
      </c>
      <c r="I29" s="181" t="str">
        <f>IF(G29="","",(VLOOKUP(Z29,'Reference List'!$B$3:$F$202,5,FALSE)))</f>
        <v/>
      </c>
      <c r="J29" s="197" t="str">
        <f t="shared" si="1"/>
        <v/>
      </c>
      <c r="K29" s="180"/>
      <c r="L29" s="182"/>
      <c r="Z29" s="203">
        <v>3200540</v>
      </c>
    </row>
    <row r="30" spans="1:26" x14ac:dyDescent="0.25">
      <c r="A30" s="47">
        <v>24</v>
      </c>
      <c r="B30" s="180" t="s">
        <v>371</v>
      </c>
      <c r="C30" s="187">
        <f t="shared" si="2"/>
        <v>43833</v>
      </c>
      <c r="D30" s="180"/>
      <c r="E30" s="180"/>
      <c r="F30" s="180"/>
      <c r="G30" s="180"/>
      <c r="H30" s="180" t="str">
        <f>IF(G30="","",(VLOOKUP(Z30,'Reference List'!$B$3:$D$173,2,FALSE)))</f>
        <v/>
      </c>
      <c r="I30" s="181" t="str">
        <f>IF(G30="","",(VLOOKUP(Z30,'Reference List'!$B$3:$F$202,5,FALSE)))</f>
        <v/>
      </c>
      <c r="J30" s="197" t="str">
        <f t="shared" si="1"/>
        <v/>
      </c>
      <c r="K30" s="180"/>
      <c r="L30" s="180"/>
      <c r="Z30" s="203">
        <v>3200540</v>
      </c>
    </row>
    <row r="31" spans="1:26" x14ac:dyDescent="0.25">
      <c r="A31" s="47">
        <v>25</v>
      </c>
      <c r="B31" s="180" t="s">
        <v>372</v>
      </c>
      <c r="C31" s="187">
        <f t="shared" si="2"/>
        <v>43833</v>
      </c>
      <c r="D31" s="180"/>
      <c r="E31" s="180"/>
      <c r="F31" s="180"/>
      <c r="G31" s="180"/>
      <c r="H31" s="180" t="str">
        <f>IF(G31="","",(VLOOKUP(Z31,'Reference List'!$B$3:$D$173,2,FALSE)))</f>
        <v/>
      </c>
      <c r="I31" s="181" t="str">
        <f>IF(G31="","",(VLOOKUP(Z31,'Reference List'!$B$3:$F$202,5,FALSE)))</f>
        <v/>
      </c>
      <c r="J31" s="197" t="str">
        <f t="shared" si="1"/>
        <v/>
      </c>
      <c r="K31" s="180"/>
      <c r="L31" s="180"/>
      <c r="Z31" s="203">
        <v>3200540</v>
      </c>
    </row>
    <row r="32" spans="1:26" x14ac:dyDescent="0.25">
      <c r="A32" s="59">
        <v>26</v>
      </c>
      <c r="B32" s="180" t="s">
        <v>373</v>
      </c>
      <c r="C32" s="187">
        <f t="shared" si="2"/>
        <v>43833</v>
      </c>
      <c r="D32" s="180"/>
      <c r="E32" s="180"/>
      <c r="F32" s="180"/>
      <c r="G32" s="180"/>
      <c r="H32" s="180" t="str">
        <f>IF(G32="","",(VLOOKUP(Z32,'Reference List'!$B$3:$D$173,2,FALSE)))</f>
        <v/>
      </c>
      <c r="I32" s="181" t="str">
        <f>IF(G32="","",(VLOOKUP(Z32,'Reference List'!$B$3:$F$202,5,FALSE)))</f>
        <v/>
      </c>
      <c r="J32" s="197" t="str">
        <f t="shared" si="1"/>
        <v/>
      </c>
      <c r="K32" s="180"/>
      <c r="L32" s="180"/>
      <c r="Z32" s="203">
        <v>3200540</v>
      </c>
    </row>
    <row r="33" spans="1:26" x14ac:dyDescent="0.25">
      <c r="A33" s="47">
        <v>27</v>
      </c>
      <c r="B33" s="180" t="s">
        <v>374</v>
      </c>
      <c r="C33" s="187">
        <f t="shared" si="2"/>
        <v>43833</v>
      </c>
      <c r="D33" s="180"/>
      <c r="E33" s="180"/>
      <c r="F33" s="180"/>
      <c r="G33" s="180"/>
      <c r="H33" s="180" t="str">
        <f>IF(G33="","",(VLOOKUP(Z33,'Reference List'!$B$3:$D$173,2,FALSE)))</f>
        <v/>
      </c>
      <c r="I33" s="181" t="str">
        <f>IF(G33="","",(VLOOKUP(Z33,'Reference List'!$B$3:$F$202,5,FALSE)))</f>
        <v/>
      </c>
      <c r="J33" s="197" t="str">
        <f t="shared" si="1"/>
        <v/>
      </c>
      <c r="K33" s="180"/>
      <c r="L33" s="180"/>
      <c r="Z33" s="203">
        <v>3200540</v>
      </c>
    </row>
    <row r="34" spans="1:26" x14ac:dyDescent="0.25">
      <c r="A34" s="47">
        <v>28</v>
      </c>
      <c r="B34" s="180" t="s">
        <v>375</v>
      </c>
      <c r="C34" s="187">
        <f t="shared" si="2"/>
        <v>43833</v>
      </c>
      <c r="D34" s="180"/>
      <c r="E34" s="180"/>
      <c r="F34" s="180"/>
      <c r="G34" s="180" t="str">
        <f>IF(F34="","",(VLOOKUP(F34,'Reference List'!$B$3:$D$173,2,FALSE)))</f>
        <v/>
      </c>
      <c r="H34" s="180" t="str">
        <f>IF(G34="","",(VLOOKUP(Z34,'Reference List'!$B$3:$D$173,2,FALSE)))</f>
        <v/>
      </c>
      <c r="I34" s="181" t="str">
        <f>IF(G34="","",(VLOOKUP(Z34,'Reference List'!$B$3:$F$202,5,FALSE)))</f>
        <v/>
      </c>
      <c r="J34" s="197" t="str">
        <f t="shared" si="1"/>
        <v/>
      </c>
      <c r="K34" s="180"/>
      <c r="L34" s="180"/>
      <c r="Z34" s="203">
        <v>3200540</v>
      </c>
    </row>
    <row r="35" spans="1:26" x14ac:dyDescent="0.25">
      <c r="A35" s="59">
        <v>29</v>
      </c>
      <c r="B35" s="180" t="s">
        <v>376</v>
      </c>
      <c r="C35" s="187">
        <f t="shared" si="2"/>
        <v>43833</v>
      </c>
      <c r="D35" s="180"/>
      <c r="E35" s="180"/>
      <c r="F35" s="180"/>
      <c r="G35" s="180" t="str">
        <f>IF(F35="","",(VLOOKUP(F35,'Reference List'!$B$3:$D$173,2,FALSE)))</f>
        <v/>
      </c>
      <c r="H35" s="180" t="str">
        <f>IF(G35="","",(VLOOKUP(Z35,'Reference List'!$B$3:$D$173,2,FALSE)))</f>
        <v/>
      </c>
      <c r="I35" s="181" t="str">
        <f>IF(G35="","",(VLOOKUP(Z35,'Reference List'!$B$3:$F$202,5,FALSE)))</f>
        <v/>
      </c>
      <c r="J35" s="197" t="str">
        <f t="shared" si="1"/>
        <v/>
      </c>
      <c r="K35" s="180"/>
      <c r="L35" s="180"/>
      <c r="Z35" s="203">
        <v>3200540</v>
      </c>
    </row>
    <row r="36" spans="1:26" x14ac:dyDescent="0.25">
      <c r="A36" s="47">
        <v>31</v>
      </c>
      <c r="B36" s="180" t="s">
        <v>377</v>
      </c>
      <c r="C36" s="187">
        <f t="shared" si="2"/>
        <v>43833</v>
      </c>
      <c r="D36" s="180"/>
      <c r="E36" s="180"/>
      <c r="F36" s="180"/>
      <c r="G36" s="180" t="str">
        <f>IF(F36="","",(VLOOKUP(F36,'Reference List'!$B$3:$D$173,2,FALSE)))</f>
        <v/>
      </c>
      <c r="H36" s="180" t="str">
        <f>IF(G36="","",(VLOOKUP(Z36,'Reference List'!$B$3:$D$173,2,FALSE)))</f>
        <v/>
      </c>
      <c r="I36" s="181" t="str">
        <f>IF(G36="","",(VLOOKUP(Z36,'Reference List'!$B$3:$F$202,5,FALSE)))</f>
        <v/>
      </c>
      <c r="J36" s="197" t="str">
        <f t="shared" si="1"/>
        <v/>
      </c>
      <c r="K36" s="180"/>
      <c r="L36" s="180"/>
      <c r="Z36" s="203">
        <v>3200540</v>
      </c>
    </row>
    <row r="37" spans="1:26" x14ac:dyDescent="0.25">
      <c r="A37" s="59">
        <v>32</v>
      </c>
      <c r="B37" s="180" t="s">
        <v>378</v>
      </c>
      <c r="C37" s="187">
        <f t="shared" si="2"/>
        <v>43833</v>
      </c>
      <c r="D37" s="180"/>
      <c r="E37" s="180"/>
      <c r="F37" s="180"/>
      <c r="G37" s="180" t="str">
        <f>IF(F37="","",(VLOOKUP(F37,'Reference List'!$B$3:$D$173,2,FALSE)))</f>
        <v/>
      </c>
      <c r="H37" s="180" t="str">
        <f>IF(G37="","",(VLOOKUP(Z37,'Reference List'!$B$3:$D$173,2,FALSE)))</f>
        <v/>
      </c>
      <c r="I37" s="181" t="str">
        <f>IF(G37="","",(VLOOKUP(Z37,'Reference List'!$B$3:$F$202,5,FALSE)))</f>
        <v/>
      </c>
      <c r="J37" s="197" t="str">
        <f t="shared" si="1"/>
        <v/>
      </c>
      <c r="K37" s="180"/>
      <c r="L37" s="180"/>
      <c r="Z37" s="203">
        <v>3200540</v>
      </c>
    </row>
    <row r="38" spans="1:26" x14ac:dyDescent="0.25">
      <c r="A38" s="47">
        <v>33</v>
      </c>
      <c r="B38" s="180" t="s">
        <v>379</v>
      </c>
      <c r="C38" s="187">
        <f t="shared" si="2"/>
        <v>43833</v>
      </c>
      <c r="D38" s="180"/>
      <c r="E38" s="180"/>
      <c r="F38" s="180"/>
      <c r="G38" s="180" t="str">
        <f>IF(F38="","",(VLOOKUP(F38,'Reference List'!$B$3:$D$173,2,FALSE)))</f>
        <v/>
      </c>
      <c r="H38" s="180" t="str">
        <f>IF(G38="","",(VLOOKUP(Z38,'Reference List'!$B$3:$D$173,2,FALSE)))</f>
        <v/>
      </c>
      <c r="I38" s="181" t="str">
        <f>IF(G38="","",(VLOOKUP(Z38,'Reference List'!$B$3:$F$202,5,FALSE)))</f>
        <v/>
      </c>
      <c r="J38" s="197" t="str">
        <f t="shared" si="1"/>
        <v/>
      </c>
      <c r="K38" s="180"/>
      <c r="L38" s="180"/>
      <c r="Z38" s="203">
        <v>3200540</v>
      </c>
    </row>
    <row r="39" spans="1:26" x14ac:dyDescent="0.25">
      <c r="A39" s="47">
        <v>34</v>
      </c>
      <c r="B39" s="180" t="s">
        <v>380</v>
      </c>
      <c r="C39" s="187">
        <f t="shared" si="2"/>
        <v>43833</v>
      </c>
      <c r="D39" s="180"/>
      <c r="E39" s="180"/>
      <c r="F39" s="180"/>
      <c r="G39" s="180" t="str">
        <f>IF(F39="","",(VLOOKUP(F39,'Reference List'!$B$3:$D$173,2,FALSE)))</f>
        <v/>
      </c>
      <c r="H39" s="180" t="str">
        <f>IF(G39="","",(VLOOKUP(Z39,'Reference List'!$B$3:$D$173,2,FALSE)))</f>
        <v/>
      </c>
      <c r="I39" s="181" t="str">
        <f>IF(G39="","",(VLOOKUP(Z39,'Reference List'!$B$3:$F$202,5,FALSE)))</f>
        <v/>
      </c>
      <c r="J39" s="197" t="str">
        <f t="shared" si="1"/>
        <v/>
      </c>
      <c r="K39" s="180"/>
      <c r="L39" s="180"/>
      <c r="Z39" s="203">
        <v>3200540</v>
      </c>
    </row>
    <row r="40" spans="1:26" x14ac:dyDescent="0.25">
      <c r="A40" s="59">
        <v>35</v>
      </c>
      <c r="B40" s="180" t="s">
        <v>381</v>
      </c>
      <c r="C40" s="187">
        <f t="shared" si="2"/>
        <v>43833</v>
      </c>
      <c r="D40" s="180"/>
      <c r="E40" s="180"/>
      <c r="F40" s="180"/>
      <c r="G40" s="180" t="str">
        <f>IF(F40="","",(VLOOKUP(F40,'Reference List'!$B$3:$D$173,2,FALSE)))</f>
        <v/>
      </c>
      <c r="H40" s="180" t="str">
        <f>IF(G40="","",(VLOOKUP(Z40,'Reference List'!$B$3:$D$173,2,FALSE)))</f>
        <v/>
      </c>
      <c r="I40" s="181" t="str">
        <f>IF(G40="","",(VLOOKUP(Z40,'Reference List'!$B$3:$F$202,5,FALSE)))</f>
        <v/>
      </c>
      <c r="J40" s="197" t="str">
        <f t="shared" si="1"/>
        <v/>
      </c>
      <c r="K40" s="180"/>
      <c r="L40" s="180"/>
      <c r="Z40" s="203">
        <v>3200540</v>
      </c>
    </row>
    <row r="41" spans="1:26" x14ac:dyDescent="0.25">
      <c r="A41" s="47">
        <v>36</v>
      </c>
      <c r="B41" s="180" t="s">
        <v>382</v>
      </c>
      <c r="C41" s="187">
        <f t="shared" si="2"/>
        <v>43833</v>
      </c>
      <c r="D41" s="180"/>
      <c r="E41" s="180"/>
      <c r="F41" s="180"/>
      <c r="G41" s="180" t="str">
        <f>IF(F41="","",(VLOOKUP(F41,'Reference List'!$B$3:$D$173,2,FALSE)))</f>
        <v/>
      </c>
      <c r="H41" s="180" t="str">
        <f>IF(G41="","",(VLOOKUP(Z41,'Reference List'!$B$3:$D$173,2,FALSE)))</f>
        <v/>
      </c>
      <c r="I41" s="181" t="str">
        <f>IF(G41="","",(VLOOKUP(Z41,'Reference List'!$B$3:$F$202,5,FALSE)))</f>
        <v/>
      </c>
      <c r="J41" s="197" t="str">
        <f t="shared" si="1"/>
        <v/>
      </c>
      <c r="K41" s="180"/>
      <c r="L41" s="180"/>
      <c r="Z41" s="203">
        <v>3200540</v>
      </c>
    </row>
    <row r="42" spans="1:26" x14ac:dyDescent="0.25">
      <c r="A42" s="47">
        <v>37</v>
      </c>
      <c r="B42" s="180" t="s">
        <v>383</v>
      </c>
      <c r="C42" s="187">
        <f t="shared" si="2"/>
        <v>43833</v>
      </c>
      <c r="D42" s="180"/>
      <c r="E42" s="180"/>
      <c r="F42" s="180"/>
      <c r="G42" s="180" t="str">
        <f>IF(F42="","",(VLOOKUP(F42,'Reference List'!$B$3:$D$173,2,FALSE)))</f>
        <v/>
      </c>
      <c r="H42" s="180" t="str">
        <f>IF(G42="","",(VLOOKUP(Z42,'Reference List'!$B$3:$D$173,2,FALSE)))</f>
        <v/>
      </c>
      <c r="I42" s="181" t="str">
        <f>IF(G42="","",(VLOOKUP(Z42,'Reference List'!$B$3:$F$202,5,FALSE)))</f>
        <v/>
      </c>
      <c r="J42" s="197" t="str">
        <f t="shared" si="1"/>
        <v/>
      </c>
      <c r="K42" s="180"/>
      <c r="L42" s="180"/>
      <c r="Z42" s="203">
        <v>3200540</v>
      </c>
    </row>
    <row r="43" spans="1:26" x14ac:dyDescent="0.25">
      <c r="A43" s="59">
        <v>38</v>
      </c>
      <c r="B43" s="180" t="s">
        <v>384</v>
      </c>
      <c r="C43" s="187">
        <f t="shared" si="2"/>
        <v>43833</v>
      </c>
      <c r="D43" s="180"/>
      <c r="E43" s="180"/>
      <c r="F43" s="180"/>
      <c r="G43" s="180" t="str">
        <f>IF(F43="","",(VLOOKUP(F43,'Reference List'!$B$3:$D$173,2,FALSE)))</f>
        <v/>
      </c>
      <c r="H43" s="180" t="str">
        <f>IF(G43="","",(VLOOKUP(Z43,'Reference List'!$B$3:$D$173,2,FALSE)))</f>
        <v/>
      </c>
      <c r="I43" s="181" t="str">
        <f>IF(G43="","",(VLOOKUP(Z43,'Reference List'!$B$3:$F$202,5,FALSE)))</f>
        <v/>
      </c>
      <c r="J43" s="197" t="str">
        <f t="shared" si="1"/>
        <v/>
      </c>
      <c r="K43" s="180"/>
      <c r="L43" s="180"/>
      <c r="Z43" s="203">
        <v>3200540</v>
      </c>
    </row>
    <row r="44" spans="1:26" x14ac:dyDescent="0.25">
      <c r="A44" s="47">
        <v>39</v>
      </c>
      <c r="B44" s="180" t="s">
        <v>385</v>
      </c>
      <c r="C44" s="187">
        <f t="shared" si="2"/>
        <v>43833</v>
      </c>
      <c r="D44" s="180"/>
      <c r="E44" s="180"/>
      <c r="F44" s="180"/>
      <c r="G44" s="180" t="str">
        <f>IF(F44="","",(VLOOKUP(F44,'Reference List'!$B$3:$D$168,2,FALSE)))</f>
        <v/>
      </c>
      <c r="H44" s="180" t="str">
        <f>IF(G44="","",(VLOOKUP(Z44,'Reference List'!$B$3:$D$173,2,FALSE)))</f>
        <v/>
      </c>
      <c r="I44" s="181" t="str">
        <f>IF(G44="","",(VLOOKUP(Z44,'Reference List'!$B$3:$F$202,5,FALSE)))</f>
        <v/>
      </c>
      <c r="J44" s="197" t="str">
        <f t="shared" si="1"/>
        <v/>
      </c>
      <c r="K44" s="180"/>
      <c r="L44" s="180"/>
      <c r="Z44" s="203">
        <v>3200540</v>
      </c>
    </row>
    <row r="45" spans="1:26" x14ac:dyDescent="0.25">
      <c r="A45" s="47">
        <v>40</v>
      </c>
      <c r="B45" s="180" t="s">
        <v>386</v>
      </c>
      <c r="C45" s="187">
        <f t="shared" si="2"/>
        <v>43833</v>
      </c>
      <c r="D45" s="56"/>
      <c r="E45" s="56"/>
      <c r="F45" s="56"/>
      <c r="G45" s="56"/>
      <c r="H45" s="180" t="str">
        <f>IF(G45="","",(VLOOKUP(Z45,'Reference List'!$B$3:$D$173,2,FALSE)))</f>
        <v/>
      </c>
      <c r="I45" s="181" t="str">
        <f>IF(G45="","",(VLOOKUP(Z45,'Reference List'!$B$3:$F$202,5,FALSE)))</f>
        <v/>
      </c>
      <c r="J45" s="197" t="str">
        <f t="shared" si="1"/>
        <v/>
      </c>
      <c r="K45" s="56"/>
      <c r="L45" s="56"/>
      <c r="Z45" s="203">
        <v>3200540</v>
      </c>
    </row>
    <row r="46" spans="1:26" x14ac:dyDescent="0.25">
      <c r="A46" s="59">
        <v>41</v>
      </c>
      <c r="B46" s="180" t="s">
        <v>387</v>
      </c>
      <c r="C46" s="187">
        <f t="shared" si="2"/>
        <v>43833</v>
      </c>
      <c r="D46" s="56"/>
      <c r="E46" s="56"/>
      <c r="F46" s="56"/>
      <c r="G46" s="56"/>
      <c r="H46" s="180" t="str">
        <f>IF(G46="","",(VLOOKUP(Z46,'Reference List'!$B$3:$D$173,2,FALSE)))</f>
        <v/>
      </c>
      <c r="I46" s="181" t="str">
        <f>IF(G46="","",(VLOOKUP(Z46,'Reference List'!$B$3:$F$202,5,FALSE)))</f>
        <v/>
      </c>
      <c r="J46" s="197" t="str">
        <f t="shared" si="1"/>
        <v/>
      </c>
      <c r="K46" s="56"/>
      <c r="L46" s="56"/>
      <c r="Z46" s="203">
        <v>3200540</v>
      </c>
    </row>
    <row r="47" spans="1:26" x14ac:dyDescent="0.25">
      <c r="A47" s="47">
        <v>42</v>
      </c>
      <c r="B47" s="180" t="s">
        <v>388</v>
      </c>
      <c r="C47" s="187">
        <f t="shared" si="2"/>
        <v>43833</v>
      </c>
      <c r="D47" s="56"/>
      <c r="E47" s="56"/>
      <c r="F47" s="56"/>
      <c r="G47" s="56"/>
      <c r="H47" s="180" t="str">
        <f>IF(G47="","",(VLOOKUP(Z47,'Reference List'!$B$3:$D$173,2,FALSE)))</f>
        <v/>
      </c>
      <c r="I47" s="181" t="str">
        <f>IF(G47="","",(VLOOKUP(Z47,'Reference List'!$B$3:$F$202,5,FALSE)))</f>
        <v/>
      </c>
      <c r="J47" s="197" t="str">
        <f t="shared" si="1"/>
        <v/>
      </c>
      <c r="K47" s="56"/>
      <c r="L47" s="56"/>
      <c r="Z47" s="203">
        <v>3200540</v>
      </c>
    </row>
    <row r="48" spans="1:26" x14ac:dyDescent="0.25">
      <c r="A48" s="47">
        <v>43</v>
      </c>
      <c r="B48" s="180" t="s">
        <v>389</v>
      </c>
      <c r="C48" s="187">
        <f t="shared" si="2"/>
        <v>43833</v>
      </c>
      <c r="D48" s="56"/>
      <c r="E48" s="56"/>
      <c r="F48" s="56"/>
      <c r="G48" s="56"/>
      <c r="H48" s="180" t="str">
        <f>IF(G48="","",(VLOOKUP(Z48,'Reference List'!$B$3:$D$173,2,FALSE)))</f>
        <v/>
      </c>
      <c r="I48" s="181" t="str">
        <f>IF(G48="","",(VLOOKUP(Z48,'Reference List'!$B$3:$F$202,5,FALSE)))</f>
        <v/>
      </c>
      <c r="J48" s="197" t="str">
        <f t="shared" si="1"/>
        <v/>
      </c>
      <c r="K48" s="56"/>
      <c r="L48" s="56"/>
      <c r="Z48" s="203">
        <v>3200540</v>
      </c>
    </row>
    <row r="49" spans="1:26" x14ac:dyDescent="0.25">
      <c r="A49" s="59">
        <v>44</v>
      </c>
      <c r="B49" s="180" t="s">
        <v>390</v>
      </c>
      <c r="C49" s="187">
        <f t="shared" si="2"/>
        <v>43833</v>
      </c>
      <c r="D49" s="56"/>
      <c r="E49" s="56"/>
      <c r="F49" s="56"/>
      <c r="G49" s="56"/>
      <c r="H49" s="180" t="str">
        <f>IF(G49="","",(VLOOKUP(Z49,'Reference List'!$B$3:$D$173,2,FALSE)))</f>
        <v/>
      </c>
      <c r="I49" s="181" t="str">
        <f>IF(G49="","",(VLOOKUP(Z49,'Reference List'!$B$3:$F$202,5,FALSE)))</f>
        <v/>
      </c>
      <c r="J49" s="197" t="str">
        <f t="shared" si="1"/>
        <v/>
      </c>
      <c r="K49" s="56"/>
      <c r="L49" s="56"/>
      <c r="Z49" s="203">
        <v>3200540</v>
      </c>
    </row>
    <row r="50" spans="1:26" x14ac:dyDescent="0.25">
      <c r="A50" s="47">
        <v>45</v>
      </c>
      <c r="B50" s="180" t="s">
        <v>391</v>
      </c>
      <c r="C50" s="187">
        <f t="shared" si="2"/>
        <v>43833</v>
      </c>
      <c r="D50" s="56"/>
      <c r="E50" s="56"/>
      <c r="F50" s="56"/>
      <c r="G50" s="56"/>
      <c r="H50" s="180" t="str">
        <f>IF(G50="","",(VLOOKUP(Z50,'Reference List'!$B$3:$D$173,2,FALSE)))</f>
        <v/>
      </c>
      <c r="I50" s="181" t="str">
        <f>IF(G50="","",(VLOOKUP(Z50,'Reference List'!$B$3:$F$202,5,FALSE)))</f>
        <v/>
      </c>
      <c r="J50" s="197" t="str">
        <f t="shared" si="1"/>
        <v/>
      </c>
      <c r="K50" s="56"/>
      <c r="L50" s="56"/>
      <c r="Z50" s="203">
        <v>3200540</v>
      </c>
    </row>
    <row r="51" spans="1:26" x14ac:dyDescent="0.25">
      <c r="A51" s="47">
        <v>46</v>
      </c>
      <c r="B51" s="180" t="s">
        <v>392</v>
      </c>
      <c r="C51" s="187">
        <f t="shared" si="2"/>
        <v>43833</v>
      </c>
      <c r="D51" s="56"/>
      <c r="E51" s="56"/>
      <c r="F51" s="56"/>
      <c r="G51" s="56"/>
      <c r="H51" s="180" t="str">
        <f>IF(G51="","",(VLOOKUP(Z51,'Reference List'!$B$3:$D$173,2,FALSE)))</f>
        <v/>
      </c>
      <c r="I51" s="181" t="str">
        <f>IF(G51="","",(VLOOKUP(Z51,'Reference List'!$B$3:$F$202,5,FALSE)))</f>
        <v/>
      </c>
      <c r="J51" s="197" t="str">
        <f t="shared" si="1"/>
        <v/>
      </c>
      <c r="K51" s="56"/>
      <c r="L51" s="56"/>
      <c r="Z51" s="203">
        <v>3200540</v>
      </c>
    </row>
    <row r="52" spans="1:26" x14ac:dyDescent="0.25">
      <c r="A52" s="59">
        <v>47</v>
      </c>
      <c r="B52" s="180" t="s">
        <v>393</v>
      </c>
      <c r="C52" s="187">
        <f t="shared" si="2"/>
        <v>43833</v>
      </c>
      <c r="D52" s="56"/>
      <c r="E52" s="56"/>
      <c r="F52" s="56"/>
      <c r="G52" s="56"/>
      <c r="H52" s="180" t="str">
        <f>IF(G52="","",(VLOOKUP(Z52,'Reference List'!$B$3:$D$173,2,FALSE)))</f>
        <v/>
      </c>
      <c r="I52" s="181" t="str">
        <f>IF(G52="","",(VLOOKUP(Z52,'Reference List'!$B$3:$F$202,5,FALSE)))</f>
        <v/>
      </c>
      <c r="J52" s="197" t="str">
        <f t="shared" si="1"/>
        <v/>
      </c>
      <c r="K52" s="56"/>
      <c r="L52" s="56"/>
      <c r="Z52" s="203">
        <v>3200540</v>
      </c>
    </row>
    <row r="53" spans="1:26" x14ac:dyDescent="0.25">
      <c r="A53" s="47">
        <v>48</v>
      </c>
      <c r="B53" s="180" t="s">
        <v>394</v>
      </c>
      <c r="C53" s="187">
        <f t="shared" si="2"/>
        <v>43833</v>
      </c>
      <c r="D53" s="56"/>
      <c r="E53" s="56"/>
      <c r="F53" s="56"/>
      <c r="G53" s="56"/>
      <c r="H53" s="180" t="str">
        <f>IF(G53="","",(VLOOKUP(Z53,'Reference List'!$B$3:$D$173,2,FALSE)))</f>
        <v/>
      </c>
      <c r="I53" s="181" t="str">
        <f>IF(G53="","",(VLOOKUP(Z53,'Reference List'!$B$3:$F$202,5,FALSE)))</f>
        <v/>
      </c>
      <c r="J53" s="197" t="str">
        <f t="shared" si="1"/>
        <v/>
      </c>
      <c r="K53" s="56"/>
      <c r="L53" s="56"/>
      <c r="Z53" s="203">
        <v>3200540</v>
      </c>
    </row>
    <row r="54" spans="1:26" x14ac:dyDescent="0.25">
      <c r="A54" s="47">
        <v>49</v>
      </c>
      <c r="B54" s="180" t="s">
        <v>395</v>
      </c>
      <c r="C54" s="187">
        <f t="shared" si="2"/>
        <v>43833</v>
      </c>
      <c r="D54" s="56"/>
      <c r="E54" s="56"/>
      <c r="F54" s="56"/>
      <c r="G54" s="56"/>
      <c r="H54" s="180" t="str">
        <f>IF(G54="","",(VLOOKUP(Z54,'Reference List'!$B$3:$D$173,2,FALSE)))</f>
        <v/>
      </c>
      <c r="I54" s="181" t="str">
        <f>IF(G54="","",(VLOOKUP(Z54,'Reference List'!$B$3:$F$202,5,FALSE)))</f>
        <v/>
      </c>
      <c r="J54" s="197" t="str">
        <f t="shared" si="1"/>
        <v/>
      </c>
      <c r="K54" s="56"/>
      <c r="L54" s="56"/>
      <c r="Z54" s="203">
        <v>3200540</v>
      </c>
    </row>
    <row r="55" spans="1:26" x14ac:dyDescent="0.25">
      <c r="A55" s="59">
        <v>50</v>
      </c>
      <c r="B55" s="180" t="s">
        <v>396</v>
      </c>
      <c r="C55" s="187">
        <f t="shared" si="2"/>
        <v>43833</v>
      </c>
      <c r="D55" s="56"/>
      <c r="E55" s="56"/>
      <c r="F55" s="56"/>
      <c r="G55" s="56"/>
      <c r="H55" s="180" t="str">
        <f>IF(G55="","",(VLOOKUP(Z55,'Reference List'!$B$3:$D$173,2,FALSE)))</f>
        <v/>
      </c>
      <c r="I55" s="181" t="str">
        <f>IF(G55="","",(VLOOKUP(Z55,'Reference List'!$B$3:$F$202,5,FALSE)))</f>
        <v/>
      </c>
      <c r="J55" s="197" t="str">
        <f t="shared" si="1"/>
        <v/>
      </c>
      <c r="K55" s="56"/>
      <c r="L55" s="56"/>
      <c r="Z55" s="203">
        <v>3200540</v>
      </c>
    </row>
    <row r="56" spans="1:26" x14ac:dyDescent="0.25">
      <c r="A56" s="47">
        <v>51</v>
      </c>
      <c r="B56" s="180" t="s">
        <v>397</v>
      </c>
      <c r="C56" s="187">
        <f t="shared" si="2"/>
        <v>43833</v>
      </c>
      <c r="D56" s="56"/>
      <c r="E56" s="56"/>
      <c r="F56" s="56"/>
      <c r="G56" s="56"/>
      <c r="H56" s="180" t="str">
        <f>IF(G56="","",(VLOOKUP(Z56,'Reference List'!$B$3:$D$173,2,FALSE)))</f>
        <v/>
      </c>
      <c r="I56" s="181" t="str">
        <f>IF(G56="","",(VLOOKUP(Z56,'Reference List'!$B$3:$F$202,5,FALSE)))</f>
        <v/>
      </c>
      <c r="J56" s="197" t="str">
        <f t="shared" si="1"/>
        <v/>
      </c>
      <c r="K56" s="56"/>
      <c r="L56" s="56"/>
      <c r="Z56" s="203">
        <v>3200540</v>
      </c>
    </row>
    <row r="57" spans="1:26" x14ac:dyDescent="0.25">
      <c r="A57" s="47">
        <v>52</v>
      </c>
      <c r="B57" s="180" t="s">
        <v>398</v>
      </c>
      <c r="C57" s="187">
        <f t="shared" si="2"/>
        <v>43833</v>
      </c>
      <c r="D57" s="56"/>
      <c r="E57" s="56"/>
      <c r="F57" s="56"/>
      <c r="G57" s="56"/>
      <c r="H57" s="180" t="str">
        <f>IF(G57="","",(VLOOKUP(Z57,'Reference List'!$B$3:$D$173,2,FALSE)))</f>
        <v/>
      </c>
      <c r="I57" s="181" t="str">
        <f>IF(G57="","",(VLOOKUP(Z57,'Reference List'!$B$3:$F$202,5,FALSE)))</f>
        <v/>
      </c>
      <c r="J57" s="197" t="str">
        <f t="shared" si="1"/>
        <v/>
      </c>
      <c r="K57" s="56"/>
      <c r="L57" s="56"/>
      <c r="Z57" s="203">
        <v>3200540</v>
      </c>
    </row>
    <row r="58" spans="1:26" x14ac:dyDescent="0.25">
      <c r="A58" s="59">
        <v>53</v>
      </c>
      <c r="B58" s="180" t="s">
        <v>399</v>
      </c>
      <c r="C58" s="187">
        <f t="shared" si="2"/>
        <v>43833</v>
      </c>
      <c r="D58" s="56"/>
      <c r="E58" s="56"/>
      <c r="F58" s="56"/>
      <c r="G58" s="56"/>
      <c r="H58" s="180" t="str">
        <f>IF(G58="","",(VLOOKUP(Z58,'Reference List'!$B$3:$D$173,2,FALSE)))</f>
        <v/>
      </c>
      <c r="I58" s="181" t="str">
        <f>IF(G58="","",(VLOOKUP(Z58,'Reference List'!$B$3:$F$202,5,FALSE)))</f>
        <v/>
      </c>
      <c r="J58" s="197" t="str">
        <f t="shared" si="1"/>
        <v/>
      </c>
      <c r="K58" s="56"/>
      <c r="L58" s="56"/>
      <c r="Z58" s="203">
        <v>3200540</v>
      </c>
    </row>
    <row r="59" spans="1:26" x14ac:dyDescent="0.25">
      <c r="A59" s="47">
        <v>54</v>
      </c>
      <c r="B59" s="180" t="s">
        <v>400</v>
      </c>
      <c r="C59" s="187">
        <f t="shared" si="2"/>
        <v>43833</v>
      </c>
      <c r="D59" s="56"/>
      <c r="E59" s="56"/>
      <c r="F59" s="56"/>
      <c r="G59" s="56"/>
      <c r="H59" s="180" t="str">
        <f>IF(G59="","",(VLOOKUP(Z59,'Reference List'!$B$3:$D$173,2,FALSE)))</f>
        <v/>
      </c>
      <c r="I59" s="181" t="str">
        <f>IF(G59="","",(VLOOKUP(Z59,'Reference List'!$B$3:$F$202,5,FALSE)))</f>
        <v/>
      </c>
      <c r="J59" s="197" t="str">
        <f t="shared" si="1"/>
        <v/>
      </c>
      <c r="K59" s="56"/>
      <c r="L59" s="56"/>
      <c r="Z59" s="203">
        <v>3200540</v>
      </c>
    </row>
    <row r="60" spans="1:26" x14ac:dyDescent="0.25">
      <c r="A60" s="47">
        <v>55</v>
      </c>
      <c r="B60" s="180" t="s">
        <v>401</v>
      </c>
      <c r="C60" s="187">
        <f t="shared" si="2"/>
        <v>43833</v>
      </c>
      <c r="D60" s="56"/>
      <c r="E60" s="56"/>
      <c r="F60" s="56"/>
      <c r="G60" s="56"/>
      <c r="H60" s="180" t="str">
        <f>IF(G60="","",(VLOOKUP(Z60,'Reference List'!$B$3:$D$173,2,FALSE)))</f>
        <v/>
      </c>
      <c r="I60" s="181" t="str">
        <f>IF(G60="","",(VLOOKUP(Z60,'Reference List'!$B$3:$F$202,5,FALSE)))</f>
        <v/>
      </c>
      <c r="J60" s="197" t="str">
        <f t="shared" si="1"/>
        <v/>
      </c>
      <c r="K60" s="56"/>
      <c r="L60" s="56"/>
      <c r="Z60" s="203">
        <v>3200540</v>
      </c>
    </row>
    <row r="61" spans="1:26" x14ac:dyDescent="0.25">
      <c r="A61" s="59">
        <v>56</v>
      </c>
      <c r="B61" s="180" t="s">
        <v>402</v>
      </c>
      <c r="C61" s="187">
        <f t="shared" si="2"/>
        <v>43833</v>
      </c>
      <c r="D61" s="56"/>
      <c r="E61" s="56"/>
      <c r="F61" s="56"/>
      <c r="G61" s="56"/>
      <c r="H61" s="180" t="str">
        <f>IF(G61="","",(VLOOKUP(Z61,'Reference List'!$B$3:$D$173,2,FALSE)))</f>
        <v/>
      </c>
      <c r="I61" s="181" t="str">
        <f>IF(G61="","",(VLOOKUP(Z61,'Reference List'!$B$3:$F$202,5,FALSE)))</f>
        <v/>
      </c>
      <c r="J61" s="197" t="str">
        <f t="shared" si="1"/>
        <v/>
      </c>
      <c r="K61" s="56"/>
      <c r="L61" s="56"/>
      <c r="Z61" s="203">
        <v>3200540</v>
      </c>
    </row>
    <row r="62" spans="1:26" x14ac:dyDescent="0.25">
      <c r="A62" s="47">
        <v>57</v>
      </c>
      <c r="B62" s="180" t="s">
        <v>403</v>
      </c>
      <c r="C62" s="187">
        <f t="shared" si="2"/>
        <v>43833</v>
      </c>
      <c r="D62" s="56"/>
      <c r="E62" s="56"/>
      <c r="F62" s="56"/>
      <c r="G62" s="56"/>
      <c r="H62" s="180" t="str">
        <f>IF(G62="","",(VLOOKUP(Z62,'Reference List'!$B$3:$D$173,2,FALSE)))</f>
        <v/>
      </c>
      <c r="I62" s="181" t="str">
        <f>IF(G62="","",(VLOOKUP(Z62,'Reference List'!$B$3:$F$202,5,FALSE)))</f>
        <v/>
      </c>
      <c r="J62" s="197" t="str">
        <f t="shared" si="1"/>
        <v/>
      </c>
      <c r="K62" s="56"/>
      <c r="L62" s="56"/>
      <c r="Z62" s="203">
        <v>3200540</v>
      </c>
    </row>
    <row r="63" spans="1:26" x14ac:dyDescent="0.25">
      <c r="A63" s="47">
        <v>58</v>
      </c>
      <c r="B63" s="180" t="s">
        <v>404</v>
      </c>
      <c r="C63" s="187">
        <f t="shared" si="2"/>
        <v>43833</v>
      </c>
      <c r="D63" s="56"/>
      <c r="E63" s="56"/>
      <c r="F63" s="56"/>
      <c r="G63" s="56"/>
      <c r="H63" s="180" t="str">
        <f>IF(G63="","",(VLOOKUP(Z63,'Reference List'!$B$3:$D$173,2,FALSE)))</f>
        <v/>
      </c>
      <c r="I63" s="181" t="str">
        <f>IF(G63="","",(VLOOKUP(Z63,'Reference List'!$B$3:$F$202,5,FALSE)))</f>
        <v/>
      </c>
      <c r="J63" s="197" t="str">
        <f t="shared" si="1"/>
        <v/>
      </c>
      <c r="K63" s="56"/>
      <c r="L63" s="56"/>
      <c r="Z63" s="203">
        <v>3200540</v>
      </c>
    </row>
    <row r="64" spans="1:26" x14ac:dyDescent="0.25">
      <c r="A64" s="59">
        <v>59</v>
      </c>
      <c r="B64" s="180" t="s">
        <v>405</v>
      </c>
      <c r="C64" s="187">
        <f t="shared" si="2"/>
        <v>43833</v>
      </c>
      <c r="D64" s="56"/>
      <c r="E64" s="56"/>
      <c r="F64" s="56"/>
      <c r="G64" s="56"/>
      <c r="H64" s="180" t="str">
        <f>IF(G64="","",(VLOOKUP(Z64,'Reference List'!$B$3:$D$173,2,FALSE)))</f>
        <v/>
      </c>
      <c r="I64" s="181" t="str">
        <f>IF(G64="","",(VLOOKUP(Z64,'Reference List'!$B$3:$F$202,5,FALSE)))</f>
        <v/>
      </c>
      <c r="J64" s="197" t="str">
        <f t="shared" si="1"/>
        <v/>
      </c>
      <c r="K64" s="56"/>
      <c r="L64" s="56"/>
      <c r="Z64" s="203">
        <v>3200540</v>
      </c>
    </row>
    <row r="65" spans="1:26" x14ac:dyDescent="0.25">
      <c r="A65" s="47">
        <v>60</v>
      </c>
      <c r="B65" s="180" t="s">
        <v>406</v>
      </c>
      <c r="C65" s="187">
        <f t="shared" si="2"/>
        <v>43833</v>
      </c>
      <c r="D65" s="56"/>
      <c r="E65" s="56"/>
      <c r="F65" s="56"/>
      <c r="G65" s="56"/>
      <c r="H65" s="180" t="str">
        <f>IF(G65="","",(VLOOKUP(Z65,'Reference List'!$B$3:$D$173,2,FALSE)))</f>
        <v/>
      </c>
      <c r="I65" s="181" t="str">
        <f>IF(G65="","",(VLOOKUP(Z65,'Reference List'!$B$3:$F$202,5,FALSE)))</f>
        <v/>
      </c>
      <c r="J65" s="197" t="str">
        <f t="shared" si="1"/>
        <v/>
      </c>
      <c r="K65" s="56"/>
      <c r="L65" s="56"/>
      <c r="Z65" s="203">
        <v>3200540</v>
      </c>
    </row>
    <row r="66" spans="1:26" x14ac:dyDescent="0.25">
      <c r="A66" s="47">
        <v>61</v>
      </c>
      <c r="B66" s="180" t="s">
        <v>407</v>
      </c>
      <c r="C66" s="187">
        <f t="shared" si="2"/>
        <v>43833</v>
      </c>
      <c r="D66" s="56"/>
      <c r="E66" s="56"/>
      <c r="F66" s="56"/>
      <c r="G66" s="56"/>
      <c r="H66" s="180" t="str">
        <f>IF(G66="","",(VLOOKUP(Z66,'Reference List'!$B$3:$D$173,2,FALSE)))</f>
        <v/>
      </c>
      <c r="I66" s="181" t="str">
        <f>IF(G66="","",(VLOOKUP(Z66,'Reference List'!$B$3:$F$202,5,FALSE)))</f>
        <v/>
      </c>
      <c r="J66" s="197" t="str">
        <f t="shared" si="1"/>
        <v/>
      </c>
      <c r="K66" s="56"/>
      <c r="L66" s="56"/>
      <c r="Z66" s="203">
        <v>3200540</v>
      </c>
    </row>
    <row r="67" spans="1:26" x14ac:dyDescent="0.25">
      <c r="A67" s="59">
        <v>62</v>
      </c>
      <c r="B67" s="180" t="s">
        <v>408</v>
      </c>
      <c r="C67" s="187">
        <f t="shared" si="2"/>
        <v>43833</v>
      </c>
      <c r="D67" s="56"/>
      <c r="E67" s="56"/>
      <c r="F67" s="56"/>
      <c r="G67" s="56"/>
      <c r="H67" s="180" t="str">
        <f>IF(G67="","",(VLOOKUP(Z67,'Reference List'!$B$3:$D$173,2,FALSE)))</f>
        <v/>
      </c>
      <c r="I67" s="181" t="str">
        <f>IF(G67="","",(VLOOKUP(Z67,'Reference List'!$B$3:$F$202,5,FALSE)))</f>
        <v/>
      </c>
      <c r="J67" s="197" t="str">
        <f t="shared" si="1"/>
        <v/>
      </c>
      <c r="K67" s="56"/>
      <c r="L67" s="56"/>
      <c r="Z67" s="203">
        <v>3200540</v>
      </c>
    </row>
    <row r="68" spans="1:26" x14ac:dyDescent="0.25">
      <c r="A68" s="47">
        <v>63</v>
      </c>
      <c r="B68" s="180" t="s">
        <v>409</v>
      </c>
      <c r="C68" s="187">
        <f t="shared" si="2"/>
        <v>43833</v>
      </c>
      <c r="D68" s="56"/>
      <c r="E68" s="56"/>
      <c r="F68" s="56"/>
      <c r="G68" s="56"/>
      <c r="H68" s="180" t="str">
        <f>IF(G68="","",(VLOOKUP(Z68,'Reference List'!$B$3:$D$173,2,FALSE)))</f>
        <v/>
      </c>
      <c r="I68" s="181" t="str">
        <f>IF(G68="","",(VLOOKUP(Z68,'Reference List'!$B$3:$F$202,5,FALSE)))</f>
        <v/>
      </c>
      <c r="J68" s="197" t="str">
        <f t="shared" si="1"/>
        <v/>
      </c>
      <c r="K68" s="56"/>
      <c r="L68" s="56"/>
      <c r="Z68" s="203">
        <v>3200540</v>
      </c>
    </row>
    <row r="69" spans="1:26" x14ac:dyDescent="0.25">
      <c r="A69" s="47">
        <v>64</v>
      </c>
      <c r="B69" s="180" t="s">
        <v>410</v>
      </c>
      <c r="C69" s="187">
        <f t="shared" si="2"/>
        <v>43833</v>
      </c>
      <c r="D69" s="56"/>
      <c r="E69" s="56"/>
      <c r="F69" s="56"/>
      <c r="G69" s="56"/>
      <c r="H69" s="180" t="str">
        <f>IF(G69="","",(VLOOKUP(Z69,'Reference List'!$B$3:$D$173,2,FALSE)))</f>
        <v/>
      </c>
      <c r="I69" s="181" t="str">
        <f>IF(G69="","",(VLOOKUP(Z69,'Reference List'!$B$3:$F$202,5,FALSE)))</f>
        <v/>
      </c>
      <c r="J69" s="197" t="str">
        <f t="shared" si="1"/>
        <v/>
      </c>
      <c r="K69" s="56"/>
      <c r="L69" s="56"/>
      <c r="Z69" s="203">
        <v>3200540</v>
      </c>
    </row>
    <row r="70" spans="1:26" x14ac:dyDescent="0.25">
      <c r="A70" s="59">
        <v>65</v>
      </c>
      <c r="B70" s="180" t="s">
        <v>411</v>
      </c>
      <c r="C70" s="187">
        <f t="shared" si="2"/>
        <v>43833</v>
      </c>
      <c r="D70" s="56"/>
      <c r="E70" s="56"/>
      <c r="F70" s="56"/>
      <c r="G70" s="56"/>
      <c r="H70" s="180" t="str">
        <f>IF(G70="","",(VLOOKUP(Z70,'Reference List'!$B$3:$D$173,2,FALSE)))</f>
        <v/>
      </c>
      <c r="I70" s="181" t="str">
        <f>IF(G70="","",(VLOOKUP(Z70,'Reference List'!$B$3:$F$202,5,FALSE)))</f>
        <v/>
      </c>
      <c r="J70" s="197" t="str">
        <f t="shared" si="1"/>
        <v/>
      </c>
      <c r="K70" s="56"/>
      <c r="L70" s="56"/>
      <c r="Z70" s="203">
        <v>3200540</v>
      </c>
    </row>
    <row r="71" spans="1:26" x14ac:dyDescent="0.25">
      <c r="A71" s="47">
        <v>66</v>
      </c>
      <c r="B71" s="180" t="s">
        <v>412</v>
      </c>
      <c r="C71" s="187">
        <f t="shared" si="2"/>
        <v>43833</v>
      </c>
      <c r="D71" s="56"/>
      <c r="E71" s="56"/>
      <c r="F71" s="56"/>
      <c r="G71" s="56"/>
      <c r="H71" s="180" t="str">
        <f>IF(G71="","",(VLOOKUP(Z71,'Reference List'!$B$3:$D$173,2,FALSE)))</f>
        <v/>
      </c>
      <c r="I71" s="181" t="str">
        <f>IF(G71="","",(VLOOKUP(Z71,'Reference List'!$B$3:$F$202,5,FALSE)))</f>
        <v/>
      </c>
      <c r="J71" s="197" t="str">
        <f t="shared" si="1"/>
        <v/>
      </c>
      <c r="K71" s="56"/>
      <c r="L71" s="56"/>
      <c r="Z71" s="203">
        <v>3200540</v>
      </c>
    </row>
    <row r="72" spans="1:26" x14ac:dyDescent="0.25">
      <c r="A72" s="47">
        <v>67</v>
      </c>
      <c r="B72" s="180" t="s">
        <v>413</v>
      </c>
      <c r="C72" s="187">
        <f t="shared" si="2"/>
        <v>43833</v>
      </c>
      <c r="D72" s="56"/>
      <c r="E72" s="56"/>
      <c r="F72" s="56"/>
      <c r="G72" s="56"/>
      <c r="H72" s="180" t="str">
        <f>IF(G72="","",(VLOOKUP(Z72,'Reference List'!$B$3:$D$173,2,FALSE)))</f>
        <v/>
      </c>
      <c r="I72" s="181" t="str">
        <f>IF(G72="","",(VLOOKUP(Z72,'Reference List'!$B$3:$F$202,5,FALSE)))</f>
        <v/>
      </c>
      <c r="J72" s="197" t="str">
        <f t="shared" si="1"/>
        <v/>
      </c>
      <c r="K72" s="56"/>
      <c r="L72" s="56"/>
      <c r="Z72" s="203">
        <v>3200540</v>
      </c>
    </row>
    <row r="73" spans="1:26" x14ac:dyDescent="0.25">
      <c r="A73" s="59">
        <v>68</v>
      </c>
      <c r="B73" s="180" t="s">
        <v>414</v>
      </c>
      <c r="C73" s="187">
        <f t="shared" si="2"/>
        <v>43833</v>
      </c>
      <c r="D73" s="56"/>
      <c r="E73" s="56"/>
      <c r="F73" s="56"/>
      <c r="G73" s="56"/>
      <c r="H73" s="180" t="str">
        <f>IF(G73="","",(VLOOKUP(Z73,'Reference List'!$B$3:$D$173,2,FALSE)))</f>
        <v/>
      </c>
      <c r="I73" s="181" t="str">
        <f>IF(G73="","",(VLOOKUP(Z73,'Reference List'!$B$3:$F$202,5,FALSE)))</f>
        <v/>
      </c>
      <c r="J73" s="197" t="str">
        <f t="shared" si="1"/>
        <v/>
      </c>
      <c r="K73" s="56"/>
      <c r="L73" s="56"/>
      <c r="Z73" s="203">
        <v>3200540</v>
      </c>
    </row>
    <row r="74" spans="1:26" x14ac:dyDescent="0.25">
      <c r="A74" s="47">
        <v>69</v>
      </c>
      <c r="B74" s="180" t="s">
        <v>415</v>
      </c>
      <c r="C74" s="187">
        <f t="shared" si="2"/>
        <v>43833</v>
      </c>
      <c r="D74" s="56"/>
      <c r="E74" s="56"/>
      <c r="F74" s="56"/>
      <c r="G74" s="56"/>
      <c r="H74" s="180" t="str">
        <f>IF(G74="","",(VLOOKUP(Z74,'Reference List'!$B$3:$D$173,2,FALSE)))</f>
        <v/>
      </c>
      <c r="I74" s="181" t="str">
        <f>IF(G74="","",(VLOOKUP(Z74,'Reference List'!$B$3:$F$202,5,FALSE)))</f>
        <v/>
      </c>
      <c r="J74" s="197" t="str">
        <f t="shared" si="1"/>
        <v/>
      </c>
      <c r="K74" s="56"/>
      <c r="L74" s="56"/>
      <c r="Z74" s="203">
        <v>3200540</v>
      </c>
    </row>
    <row r="75" spans="1:26" x14ac:dyDescent="0.25">
      <c r="A75" s="47">
        <v>70</v>
      </c>
      <c r="B75" s="180" t="s">
        <v>416</v>
      </c>
      <c r="C75" s="187">
        <f t="shared" si="2"/>
        <v>43833</v>
      </c>
      <c r="D75" s="56"/>
      <c r="E75" s="56"/>
      <c r="F75" s="56"/>
      <c r="G75" s="56"/>
      <c r="H75" s="180" t="str">
        <f>IF(G75="","",(VLOOKUP(Z75,'Reference List'!$B$3:$D$173,2,FALSE)))</f>
        <v/>
      </c>
      <c r="I75" s="181" t="str">
        <f>IF(G75="","",(VLOOKUP(Z75,'Reference List'!$B$3:$F$202,5,FALSE)))</f>
        <v/>
      </c>
      <c r="J75" s="197" t="str">
        <f t="shared" si="1"/>
        <v/>
      </c>
      <c r="K75" s="56"/>
      <c r="L75" s="56"/>
      <c r="Z75" s="203">
        <v>3200540</v>
      </c>
    </row>
    <row r="76" spans="1:26" x14ac:dyDescent="0.25">
      <c r="A76" s="59">
        <v>71</v>
      </c>
      <c r="B76" s="180" t="s">
        <v>417</v>
      </c>
      <c r="C76" s="187">
        <f t="shared" si="2"/>
        <v>43833</v>
      </c>
      <c r="D76" s="56"/>
      <c r="E76" s="56"/>
      <c r="F76" s="56"/>
      <c r="G76" s="56"/>
      <c r="H76" s="180" t="str">
        <f>IF(G76="","",(VLOOKUP(Z76,'Reference List'!$B$3:$D$173,2,FALSE)))</f>
        <v/>
      </c>
      <c r="I76" s="181" t="str">
        <f>IF(G76="","",(VLOOKUP(Z76,'Reference List'!$B$3:$F$202,5,FALSE)))</f>
        <v/>
      </c>
      <c r="J76" s="197" t="str">
        <f t="shared" si="1"/>
        <v/>
      </c>
      <c r="K76" s="56"/>
      <c r="L76" s="56"/>
      <c r="Z76" s="203">
        <v>3200540</v>
      </c>
    </row>
    <row r="77" spans="1:26" x14ac:dyDescent="0.25">
      <c r="A77" s="47">
        <v>72</v>
      </c>
      <c r="B77" s="180" t="s">
        <v>418</v>
      </c>
      <c r="C77" s="187">
        <f t="shared" si="2"/>
        <v>43833</v>
      </c>
      <c r="D77" s="56"/>
      <c r="E77" s="56"/>
      <c r="F77" s="56"/>
      <c r="G77" s="56"/>
      <c r="H77" s="180" t="str">
        <f>IF(G77="","",(VLOOKUP(Z77,'Reference List'!$B$3:$D$173,2,FALSE)))</f>
        <v/>
      </c>
      <c r="I77" s="181" t="str">
        <f>IF(G77="","",(VLOOKUP(Z77,'Reference List'!$B$3:$F$202,5,FALSE)))</f>
        <v/>
      </c>
      <c r="J77" s="197" t="str">
        <f t="shared" si="1"/>
        <v/>
      </c>
      <c r="K77" s="56"/>
      <c r="L77" s="56"/>
      <c r="Z77" s="203">
        <v>3200540</v>
      </c>
    </row>
    <row r="78" spans="1:26" x14ac:dyDescent="0.25">
      <c r="A78" s="47">
        <v>73</v>
      </c>
      <c r="B78" s="180" t="s">
        <v>419</v>
      </c>
      <c r="C78" s="187">
        <f t="shared" si="2"/>
        <v>43833</v>
      </c>
      <c r="D78" s="56"/>
      <c r="E78" s="56"/>
      <c r="F78" s="56"/>
      <c r="G78" s="56"/>
      <c r="H78" s="180" t="str">
        <f>IF(G78="","",(VLOOKUP(Z78,'Reference List'!$B$3:$D$173,2,FALSE)))</f>
        <v/>
      </c>
      <c r="I78" s="181" t="str">
        <f>IF(G78="","",(VLOOKUP(Z78,'Reference List'!$B$3:$F$202,5,FALSE)))</f>
        <v/>
      </c>
      <c r="J78" s="197" t="str">
        <f t="shared" si="1"/>
        <v/>
      </c>
      <c r="K78" s="56"/>
      <c r="L78" s="56"/>
      <c r="Z78" s="203">
        <v>3200540</v>
      </c>
    </row>
    <row r="79" spans="1:26" x14ac:dyDescent="0.25">
      <c r="A79" s="59">
        <v>74</v>
      </c>
      <c r="B79" s="180" t="s">
        <v>420</v>
      </c>
      <c r="C79" s="187">
        <f t="shared" si="2"/>
        <v>43833</v>
      </c>
      <c r="D79" s="56"/>
      <c r="E79" s="56"/>
      <c r="F79" s="56"/>
      <c r="G79" s="56"/>
      <c r="H79" s="180" t="str">
        <f>IF(G79="","",(VLOOKUP(Z79,'Reference List'!$B$3:$D$173,2,FALSE)))</f>
        <v/>
      </c>
      <c r="I79" s="181" t="str">
        <f>IF(G79="","",(VLOOKUP(Z79,'Reference List'!$B$3:$F$202,5,FALSE)))</f>
        <v/>
      </c>
      <c r="J79" s="197" t="str">
        <f t="shared" si="1"/>
        <v/>
      </c>
      <c r="K79" s="56"/>
      <c r="L79" s="56"/>
      <c r="Z79" s="203">
        <v>3200540</v>
      </c>
    </row>
    <row r="80" spans="1:26" x14ac:dyDescent="0.25">
      <c r="A80" s="47">
        <v>75</v>
      </c>
      <c r="B80" s="180" t="s">
        <v>421</v>
      </c>
      <c r="C80" s="187">
        <f t="shared" si="2"/>
        <v>43833</v>
      </c>
      <c r="D80" s="56"/>
      <c r="E80" s="56"/>
      <c r="F80" s="56"/>
      <c r="G80" s="56"/>
      <c r="H80" s="180" t="str">
        <f>IF(G80="","",(VLOOKUP(Z80,'Reference List'!$B$3:$D$173,2,FALSE)))</f>
        <v/>
      </c>
      <c r="I80" s="181" t="str">
        <f>IF(G80="","",(VLOOKUP(Z80,'Reference List'!$B$3:$F$202,5,FALSE)))</f>
        <v/>
      </c>
      <c r="J80" s="197" t="str">
        <f t="shared" si="1"/>
        <v/>
      </c>
      <c r="K80" s="56"/>
      <c r="L80" s="56"/>
      <c r="Z80" s="203">
        <v>3200540</v>
      </c>
    </row>
    <row r="81" spans="1:26" x14ac:dyDescent="0.25">
      <c r="A81" s="47">
        <v>76</v>
      </c>
      <c r="B81" s="180" t="s">
        <v>422</v>
      </c>
      <c r="C81" s="187">
        <f t="shared" si="2"/>
        <v>43833</v>
      </c>
      <c r="D81" s="56"/>
      <c r="E81" s="56"/>
      <c r="F81" s="56"/>
      <c r="G81" s="56"/>
      <c r="H81" s="180" t="str">
        <f>IF(G81="","",(VLOOKUP(Z81,'Reference List'!$B$3:$D$173,2,FALSE)))</f>
        <v/>
      </c>
      <c r="I81" s="181" t="str">
        <f>IF(G81="","",(VLOOKUP(Z81,'Reference List'!$B$3:$F$202,5,FALSE)))</f>
        <v/>
      </c>
      <c r="J81" s="197" t="str">
        <f t="shared" si="1"/>
        <v/>
      </c>
      <c r="K81" s="56"/>
      <c r="L81" s="56"/>
      <c r="Z81" s="203">
        <v>3200540</v>
      </c>
    </row>
    <row r="82" spans="1:26" x14ac:dyDescent="0.25">
      <c r="A82" s="59">
        <v>77</v>
      </c>
      <c r="B82" s="180" t="s">
        <v>423</v>
      </c>
      <c r="C82" s="187">
        <f t="shared" si="2"/>
        <v>43833</v>
      </c>
      <c r="D82" s="56"/>
      <c r="E82" s="56"/>
      <c r="F82" s="56"/>
      <c r="G82" s="56"/>
      <c r="H82" s="180" t="str">
        <f>IF(G82="","",(VLOOKUP(Z82,'Reference List'!$B$3:$D$173,2,FALSE)))</f>
        <v/>
      </c>
      <c r="I82" s="181" t="str">
        <f>IF(G82="","",(VLOOKUP(Z82,'Reference List'!$B$3:$F$202,5,FALSE)))</f>
        <v/>
      </c>
      <c r="J82" s="197" t="str">
        <f t="shared" si="1"/>
        <v/>
      </c>
      <c r="K82" s="56"/>
      <c r="L82" s="56"/>
      <c r="Z82" s="203">
        <v>3200540</v>
      </c>
    </row>
    <row r="83" spans="1:26" x14ac:dyDescent="0.25">
      <c r="A83" s="47">
        <v>78</v>
      </c>
      <c r="B83" s="180" t="s">
        <v>424</v>
      </c>
      <c r="C83" s="187">
        <f t="shared" si="2"/>
        <v>43833</v>
      </c>
      <c r="D83" s="56"/>
      <c r="E83" s="56"/>
      <c r="F83" s="56"/>
      <c r="G83" s="56"/>
      <c r="H83" s="180" t="str">
        <f>IF(G83="","",(VLOOKUP(Z83,'Reference List'!$B$3:$D$173,2,FALSE)))</f>
        <v/>
      </c>
      <c r="I83" s="181" t="str">
        <f>IF(G83="","",(VLOOKUP(Z83,'Reference List'!$B$3:$F$202,5,FALSE)))</f>
        <v/>
      </c>
      <c r="J83" s="197" t="str">
        <f t="shared" ref="J83:J105" si="3">IF(LEFT(G83,8)="BUNNINGS","Loscam pallets only",IF(G83="MM ELECTRICAL BIBRA LAKE WA","Plain pallets only",""))</f>
        <v/>
      </c>
      <c r="K83" s="56"/>
      <c r="L83" s="56"/>
      <c r="Z83" s="203">
        <v>3200540</v>
      </c>
    </row>
    <row r="84" spans="1:26" x14ac:dyDescent="0.25">
      <c r="A84" s="47">
        <v>79</v>
      </c>
      <c r="B84" s="180" t="s">
        <v>425</v>
      </c>
      <c r="C84" s="187">
        <f t="shared" si="2"/>
        <v>43833</v>
      </c>
      <c r="D84" s="56"/>
      <c r="E84" s="56"/>
      <c r="F84" s="56"/>
      <c r="G84" s="56"/>
      <c r="H84" s="180" t="str">
        <f>IF(G84="","",(VLOOKUP(Z84,'Reference List'!$B$3:$D$173,2,FALSE)))</f>
        <v/>
      </c>
      <c r="I84" s="181" t="str">
        <f>IF(G84="","",(VLOOKUP(Z84,'Reference List'!$B$3:$F$202,5,FALSE)))</f>
        <v/>
      </c>
      <c r="J84" s="197" t="str">
        <f t="shared" si="3"/>
        <v/>
      </c>
      <c r="K84" s="56"/>
      <c r="L84" s="56"/>
      <c r="Z84" s="203">
        <v>3200540</v>
      </c>
    </row>
    <row r="85" spans="1:26" x14ac:dyDescent="0.25">
      <c r="A85" s="59">
        <v>80</v>
      </c>
      <c r="B85" s="180" t="s">
        <v>426</v>
      </c>
      <c r="C85" s="187">
        <f t="shared" si="2"/>
        <v>43833</v>
      </c>
      <c r="D85" s="56"/>
      <c r="E85" s="56"/>
      <c r="F85" s="56"/>
      <c r="G85" s="56"/>
      <c r="H85" s="180" t="str">
        <f>IF(G85="","",(VLOOKUP(Z85,'Reference List'!$B$3:$D$173,2,FALSE)))</f>
        <v/>
      </c>
      <c r="I85" s="181" t="str">
        <f>IF(G85="","",(VLOOKUP(Z85,'Reference List'!$B$3:$F$202,5,FALSE)))</f>
        <v/>
      </c>
      <c r="J85" s="197" t="str">
        <f t="shared" si="3"/>
        <v/>
      </c>
      <c r="K85" s="56"/>
      <c r="L85" s="56"/>
      <c r="Z85" s="203">
        <v>3200540</v>
      </c>
    </row>
    <row r="86" spans="1:26" x14ac:dyDescent="0.25">
      <c r="A86" s="47">
        <v>81</v>
      </c>
      <c r="B86" s="180" t="s">
        <v>427</v>
      </c>
      <c r="C86" s="187">
        <f t="shared" si="2"/>
        <v>43833</v>
      </c>
      <c r="D86" s="56"/>
      <c r="E86" s="56"/>
      <c r="F86" s="56"/>
      <c r="G86" s="56"/>
      <c r="H86" s="180" t="str">
        <f>IF(G86="","",(VLOOKUP(Z86,'Reference List'!$B$3:$D$173,2,FALSE)))</f>
        <v/>
      </c>
      <c r="I86" s="181" t="str">
        <f>IF(G86="","",(VLOOKUP(Z86,'Reference List'!$B$3:$F$202,5,FALSE)))</f>
        <v/>
      </c>
      <c r="J86" s="197" t="str">
        <f t="shared" si="3"/>
        <v/>
      </c>
      <c r="K86" s="56"/>
      <c r="L86" s="56"/>
      <c r="Z86" s="203">
        <v>3200540</v>
      </c>
    </row>
    <row r="87" spans="1:26" x14ac:dyDescent="0.25">
      <c r="A87" s="47">
        <v>82</v>
      </c>
      <c r="B87" s="180" t="s">
        <v>428</v>
      </c>
      <c r="C87" s="187">
        <f t="shared" si="2"/>
        <v>43833</v>
      </c>
      <c r="D87" s="56"/>
      <c r="E87" s="56"/>
      <c r="F87" s="56"/>
      <c r="G87" s="56"/>
      <c r="H87" s="180" t="str">
        <f>IF(G87="","",(VLOOKUP(Z87,'Reference List'!$B$3:$D$173,2,FALSE)))</f>
        <v/>
      </c>
      <c r="I87" s="181" t="str">
        <f>IF(G87="","",(VLOOKUP(Z87,'Reference List'!$B$3:$F$202,5,FALSE)))</f>
        <v/>
      </c>
      <c r="J87" s="197" t="str">
        <f t="shared" si="3"/>
        <v/>
      </c>
      <c r="K87" s="56"/>
      <c r="L87" s="56"/>
      <c r="Z87" s="203">
        <v>3200540</v>
      </c>
    </row>
    <row r="88" spans="1:26" x14ac:dyDescent="0.25">
      <c r="A88" s="59">
        <v>83</v>
      </c>
      <c r="B88" s="180" t="s">
        <v>429</v>
      </c>
      <c r="C88" s="187">
        <f t="shared" si="2"/>
        <v>43833</v>
      </c>
      <c r="D88" s="56"/>
      <c r="E88" s="56"/>
      <c r="F88" s="56"/>
      <c r="G88" s="56"/>
      <c r="H88" s="180" t="str">
        <f>IF(G88="","",(VLOOKUP(Z88,'Reference List'!$B$3:$D$173,2,FALSE)))</f>
        <v/>
      </c>
      <c r="I88" s="181" t="str">
        <f>IF(G88="","",(VLOOKUP(Z88,'Reference List'!$B$3:$F$202,5,FALSE)))</f>
        <v/>
      </c>
      <c r="J88" s="197" t="str">
        <f t="shared" si="3"/>
        <v/>
      </c>
      <c r="K88" s="56"/>
      <c r="L88" s="56"/>
      <c r="Z88" s="203">
        <v>3200540</v>
      </c>
    </row>
    <row r="89" spans="1:26" x14ac:dyDescent="0.25">
      <c r="A89" s="47">
        <v>84</v>
      </c>
      <c r="B89" s="180" t="s">
        <v>430</v>
      </c>
      <c r="C89" s="187">
        <f t="shared" si="2"/>
        <v>43833</v>
      </c>
      <c r="D89" s="56"/>
      <c r="E89" s="56"/>
      <c r="F89" s="56"/>
      <c r="G89" s="56"/>
      <c r="H89" s="180" t="str">
        <f>IF(G89="","",(VLOOKUP(Z89,'Reference List'!$B$3:$D$173,2,FALSE)))</f>
        <v/>
      </c>
      <c r="I89" s="181" t="str">
        <f>IF(G89="","",(VLOOKUP(Z89,'Reference List'!$B$3:$F$202,5,FALSE)))</f>
        <v/>
      </c>
      <c r="J89" s="197" t="str">
        <f t="shared" si="3"/>
        <v/>
      </c>
      <c r="K89" s="56"/>
      <c r="L89" s="56"/>
      <c r="Z89" s="203">
        <v>3200540</v>
      </c>
    </row>
    <row r="90" spans="1:26" x14ac:dyDescent="0.25">
      <c r="A90" s="47">
        <v>85</v>
      </c>
      <c r="B90" s="180" t="s">
        <v>431</v>
      </c>
      <c r="C90" s="187">
        <f t="shared" si="2"/>
        <v>43833</v>
      </c>
      <c r="D90" s="56"/>
      <c r="E90" s="56"/>
      <c r="F90" s="56"/>
      <c r="G90" s="56"/>
      <c r="H90" s="180" t="str">
        <f>IF(G90="","",(VLOOKUP(Z90,'Reference List'!$B$3:$D$173,2,FALSE)))</f>
        <v/>
      </c>
      <c r="I90" s="181" t="str">
        <f>IF(G90="","",(VLOOKUP(Z90,'Reference List'!$B$3:$F$202,5,FALSE)))</f>
        <v/>
      </c>
      <c r="J90" s="197" t="str">
        <f t="shared" si="3"/>
        <v/>
      </c>
      <c r="K90" s="56"/>
      <c r="L90" s="56"/>
      <c r="Z90" s="203">
        <v>3200540</v>
      </c>
    </row>
    <row r="91" spans="1:26" x14ac:dyDescent="0.25">
      <c r="A91" s="59">
        <v>86</v>
      </c>
      <c r="B91" s="180" t="s">
        <v>432</v>
      </c>
      <c r="C91" s="187">
        <f t="shared" ref="C91:C105" si="4">+C90</f>
        <v>43833</v>
      </c>
      <c r="D91" s="56"/>
      <c r="E91" s="56"/>
      <c r="F91" s="56"/>
      <c r="G91" s="56"/>
      <c r="H91" s="180" t="str">
        <f>IF(G91="","",(VLOOKUP(Z91,'Reference List'!$B$3:$D$173,2,FALSE)))</f>
        <v/>
      </c>
      <c r="I91" s="181" t="str">
        <f>IF(G91="","",(VLOOKUP(Z91,'Reference List'!$B$3:$F$202,5,FALSE)))</f>
        <v/>
      </c>
      <c r="J91" s="197" t="str">
        <f t="shared" si="3"/>
        <v/>
      </c>
      <c r="K91" s="56"/>
      <c r="L91" s="56"/>
      <c r="Z91" s="203">
        <v>3200540</v>
      </c>
    </row>
    <row r="92" spans="1:26" x14ac:dyDescent="0.25">
      <c r="A92" s="47">
        <v>87</v>
      </c>
      <c r="B92" s="180" t="s">
        <v>433</v>
      </c>
      <c r="C92" s="187">
        <f t="shared" si="4"/>
        <v>43833</v>
      </c>
      <c r="D92" s="56"/>
      <c r="E92" s="56"/>
      <c r="F92" s="56"/>
      <c r="G92" s="56"/>
      <c r="H92" s="180" t="str">
        <f>IF(G92="","",(VLOOKUP(Z92,'Reference List'!$B$3:$D$173,2,FALSE)))</f>
        <v/>
      </c>
      <c r="I92" s="181" t="str">
        <f>IF(G92="","",(VLOOKUP(Z92,'Reference List'!$B$3:$F$202,5,FALSE)))</f>
        <v/>
      </c>
      <c r="J92" s="197" t="str">
        <f t="shared" si="3"/>
        <v/>
      </c>
      <c r="K92" s="56"/>
      <c r="L92" s="56"/>
      <c r="Z92" s="203">
        <v>3200540</v>
      </c>
    </row>
    <row r="93" spans="1:26" x14ac:dyDescent="0.25">
      <c r="A93" s="47">
        <v>88</v>
      </c>
      <c r="B93" s="180" t="s">
        <v>434</v>
      </c>
      <c r="C93" s="187">
        <f t="shared" si="4"/>
        <v>43833</v>
      </c>
      <c r="D93" s="56"/>
      <c r="E93" s="56"/>
      <c r="F93" s="56"/>
      <c r="G93" s="56"/>
      <c r="H93" s="180" t="str">
        <f>IF(G93="","",(VLOOKUP(Z93,'Reference List'!$B$3:$D$173,2,FALSE)))</f>
        <v/>
      </c>
      <c r="I93" s="181" t="str">
        <f>IF(G93="","",(VLOOKUP(Z93,'Reference List'!$B$3:$F$202,5,FALSE)))</f>
        <v/>
      </c>
      <c r="J93" s="197" t="str">
        <f t="shared" si="3"/>
        <v/>
      </c>
      <c r="K93" s="56"/>
      <c r="L93" s="56"/>
      <c r="Z93" s="203">
        <v>3200540</v>
      </c>
    </row>
    <row r="94" spans="1:26" x14ac:dyDescent="0.25">
      <c r="A94" s="59">
        <v>89</v>
      </c>
      <c r="B94" s="180" t="s">
        <v>435</v>
      </c>
      <c r="C94" s="187">
        <f t="shared" si="4"/>
        <v>43833</v>
      </c>
      <c r="D94" s="56"/>
      <c r="E94" s="56"/>
      <c r="F94" s="56"/>
      <c r="G94" s="56"/>
      <c r="H94" s="180" t="str">
        <f>IF(G94="","",(VLOOKUP(Z94,'Reference List'!$B$3:$D$173,2,FALSE)))</f>
        <v/>
      </c>
      <c r="I94" s="181" t="str">
        <f>IF(G94="","",(VLOOKUP(Z94,'Reference List'!$B$3:$F$202,5,FALSE)))</f>
        <v/>
      </c>
      <c r="J94" s="197" t="str">
        <f t="shared" si="3"/>
        <v/>
      </c>
      <c r="K94" s="56"/>
      <c r="L94" s="56"/>
      <c r="Z94" s="203">
        <v>3200540</v>
      </c>
    </row>
    <row r="95" spans="1:26" x14ac:dyDescent="0.25">
      <c r="A95" s="47">
        <v>90</v>
      </c>
      <c r="B95" s="180" t="s">
        <v>436</v>
      </c>
      <c r="C95" s="187">
        <f t="shared" si="4"/>
        <v>43833</v>
      </c>
      <c r="D95" s="56"/>
      <c r="E95" s="56"/>
      <c r="F95" s="56"/>
      <c r="G95" s="56"/>
      <c r="H95" s="180" t="str">
        <f>IF(G95="","",(VLOOKUP(Z95,'Reference List'!$B$3:$D$173,2,FALSE)))</f>
        <v/>
      </c>
      <c r="I95" s="181" t="str">
        <f>IF(G95="","",(VLOOKUP(Z95,'Reference List'!$B$3:$F$202,5,FALSE)))</f>
        <v/>
      </c>
      <c r="J95" s="197" t="str">
        <f t="shared" si="3"/>
        <v/>
      </c>
      <c r="K95" s="56"/>
      <c r="L95" s="56"/>
      <c r="Z95" s="203">
        <v>3200540</v>
      </c>
    </row>
    <row r="96" spans="1:26" x14ac:dyDescent="0.25">
      <c r="A96" s="47">
        <v>91</v>
      </c>
      <c r="B96" s="180" t="s">
        <v>437</v>
      </c>
      <c r="C96" s="187">
        <f t="shared" si="4"/>
        <v>43833</v>
      </c>
      <c r="D96" s="56"/>
      <c r="E96" s="56"/>
      <c r="F96" s="56"/>
      <c r="G96" s="56"/>
      <c r="H96" s="180" t="str">
        <f>IF(G96="","",(VLOOKUP(Z96,'Reference List'!$B$3:$D$173,2,FALSE)))</f>
        <v/>
      </c>
      <c r="I96" s="181" t="str">
        <f>IF(G96="","",(VLOOKUP(Z96,'Reference List'!$B$3:$F$202,5,FALSE)))</f>
        <v/>
      </c>
      <c r="J96" s="197" t="str">
        <f t="shared" si="3"/>
        <v/>
      </c>
      <c r="K96" s="56"/>
      <c r="L96" s="56"/>
      <c r="Z96" s="203">
        <v>3200540</v>
      </c>
    </row>
    <row r="97" spans="1:26" x14ac:dyDescent="0.25">
      <c r="A97" s="59">
        <v>92</v>
      </c>
      <c r="B97" s="180" t="s">
        <v>438</v>
      </c>
      <c r="C97" s="187">
        <f t="shared" si="4"/>
        <v>43833</v>
      </c>
      <c r="D97" s="56"/>
      <c r="E97" s="56"/>
      <c r="F97" s="56"/>
      <c r="G97" s="56"/>
      <c r="H97" s="180" t="str">
        <f>IF(G97="","",(VLOOKUP(Z97,'Reference List'!$B$3:$D$173,2,FALSE)))</f>
        <v/>
      </c>
      <c r="I97" s="181" t="str">
        <f>IF(G97="","",(VLOOKUP(Z97,'Reference List'!$B$3:$F$202,5,FALSE)))</f>
        <v/>
      </c>
      <c r="J97" s="197" t="str">
        <f t="shared" si="3"/>
        <v/>
      </c>
      <c r="K97" s="56"/>
      <c r="L97" s="56"/>
      <c r="Z97" s="203">
        <v>3200540</v>
      </c>
    </row>
    <row r="98" spans="1:26" x14ac:dyDescent="0.25">
      <c r="A98" s="47">
        <v>93</v>
      </c>
      <c r="B98" s="180" t="s">
        <v>439</v>
      </c>
      <c r="C98" s="187">
        <f t="shared" si="4"/>
        <v>43833</v>
      </c>
      <c r="D98" s="56"/>
      <c r="E98" s="56"/>
      <c r="F98" s="56"/>
      <c r="G98" s="56"/>
      <c r="H98" s="180" t="str">
        <f>IF(G98="","",(VLOOKUP(Z98,'Reference List'!$B$3:$D$173,2,FALSE)))</f>
        <v/>
      </c>
      <c r="I98" s="181" t="str">
        <f>IF(G98="","",(VLOOKUP(Z98,'Reference List'!$B$3:$F$202,5,FALSE)))</f>
        <v/>
      </c>
      <c r="J98" s="197" t="str">
        <f t="shared" si="3"/>
        <v/>
      </c>
      <c r="K98" s="56"/>
      <c r="L98" s="56"/>
      <c r="Z98" s="203">
        <v>3200540</v>
      </c>
    </row>
    <row r="99" spans="1:26" x14ac:dyDescent="0.25">
      <c r="A99" s="47">
        <v>94</v>
      </c>
      <c r="B99" s="180" t="s">
        <v>440</v>
      </c>
      <c r="C99" s="187">
        <f t="shared" si="4"/>
        <v>43833</v>
      </c>
      <c r="D99" s="56"/>
      <c r="E99" s="56"/>
      <c r="F99" s="56"/>
      <c r="G99" s="56"/>
      <c r="H99" s="180" t="str">
        <f>IF(G99="","",(VLOOKUP(Z99,'Reference List'!$B$3:$D$173,2,FALSE)))</f>
        <v/>
      </c>
      <c r="I99" s="181" t="str">
        <f>IF(G99="","",(VLOOKUP(Z99,'Reference List'!$B$3:$F$202,5,FALSE)))</f>
        <v/>
      </c>
      <c r="J99" s="197" t="str">
        <f t="shared" si="3"/>
        <v/>
      </c>
      <c r="K99" s="56"/>
      <c r="L99" s="56"/>
      <c r="Z99" s="203">
        <v>3200540</v>
      </c>
    </row>
    <row r="100" spans="1:26" x14ac:dyDescent="0.25">
      <c r="A100" s="59">
        <v>95</v>
      </c>
      <c r="B100" s="180" t="s">
        <v>441</v>
      </c>
      <c r="C100" s="187">
        <f t="shared" si="4"/>
        <v>43833</v>
      </c>
      <c r="D100" s="56"/>
      <c r="E100" s="56"/>
      <c r="F100" s="56"/>
      <c r="G100" s="56"/>
      <c r="H100" s="180" t="str">
        <f>IF(G100="","",(VLOOKUP(Z100,'Reference List'!$B$3:$D$173,2,FALSE)))</f>
        <v/>
      </c>
      <c r="I100" s="181" t="str">
        <f>IF(G100="","",(VLOOKUP(Z100,'Reference List'!$B$3:$F$202,5,FALSE)))</f>
        <v/>
      </c>
      <c r="J100" s="197" t="str">
        <f t="shared" si="3"/>
        <v/>
      </c>
      <c r="K100" s="56"/>
      <c r="L100" s="56"/>
      <c r="Z100" s="203">
        <v>3200540</v>
      </c>
    </row>
    <row r="101" spans="1:26" x14ac:dyDescent="0.25">
      <c r="A101" s="47">
        <v>96</v>
      </c>
      <c r="B101" s="180" t="s">
        <v>442</v>
      </c>
      <c r="C101" s="187">
        <f t="shared" si="4"/>
        <v>43833</v>
      </c>
      <c r="D101" s="56"/>
      <c r="E101" s="56"/>
      <c r="F101" s="56"/>
      <c r="G101" s="56"/>
      <c r="H101" s="180" t="str">
        <f>IF(G101="","",(VLOOKUP(Z101,'Reference List'!$B$3:$D$173,2,FALSE)))</f>
        <v/>
      </c>
      <c r="I101" s="181" t="str">
        <f>IF(G101="","",(VLOOKUP(Z101,'Reference List'!$B$3:$F$202,5,FALSE)))</f>
        <v/>
      </c>
      <c r="J101" s="197" t="str">
        <f t="shared" si="3"/>
        <v/>
      </c>
      <c r="K101" s="56"/>
      <c r="L101" s="56"/>
      <c r="Z101" s="203">
        <v>3200540</v>
      </c>
    </row>
    <row r="102" spans="1:26" x14ac:dyDescent="0.25">
      <c r="A102" s="47">
        <v>97</v>
      </c>
      <c r="B102" s="180" t="s">
        <v>443</v>
      </c>
      <c r="C102" s="187">
        <f t="shared" si="4"/>
        <v>43833</v>
      </c>
      <c r="D102" s="56"/>
      <c r="E102" s="56"/>
      <c r="F102" s="56"/>
      <c r="G102" s="56"/>
      <c r="H102" s="180" t="str">
        <f>IF(G102="","",(VLOOKUP(Z102,'Reference List'!$B$3:$D$173,2,FALSE)))</f>
        <v/>
      </c>
      <c r="I102" s="181" t="str">
        <f>IF(G102="","",(VLOOKUP(Z102,'Reference List'!$B$3:$F$202,5,FALSE)))</f>
        <v/>
      </c>
      <c r="J102" s="197" t="str">
        <f t="shared" si="3"/>
        <v/>
      </c>
      <c r="K102" s="56"/>
      <c r="L102" s="56"/>
      <c r="Z102" s="203">
        <v>3200540</v>
      </c>
    </row>
    <row r="103" spans="1:26" x14ac:dyDescent="0.25">
      <c r="A103" s="59">
        <v>98</v>
      </c>
      <c r="B103" s="180" t="s">
        <v>444</v>
      </c>
      <c r="C103" s="187">
        <f t="shared" si="4"/>
        <v>43833</v>
      </c>
      <c r="D103" s="56"/>
      <c r="E103" s="56"/>
      <c r="F103" s="56"/>
      <c r="G103" s="56"/>
      <c r="H103" s="180" t="str">
        <f>IF(G103="","",(VLOOKUP(Z103,'Reference List'!$B$3:$D$173,2,FALSE)))</f>
        <v/>
      </c>
      <c r="I103" s="181" t="str">
        <f>IF(G103="","",(VLOOKUP(Z103,'Reference List'!$B$3:$F$202,5,FALSE)))</f>
        <v/>
      </c>
      <c r="J103" s="197" t="str">
        <f t="shared" si="3"/>
        <v/>
      </c>
      <c r="K103" s="56"/>
      <c r="L103" s="56"/>
      <c r="Z103" s="203">
        <v>3200540</v>
      </c>
    </row>
    <row r="104" spans="1:26" x14ac:dyDescent="0.25">
      <c r="A104" s="47">
        <v>99</v>
      </c>
      <c r="B104" s="180" t="s">
        <v>445</v>
      </c>
      <c r="C104" s="187">
        <f t="shared" si="4"/>
        <v>43833</v>
      </c>
      <c r="D104" s="56"/>
      <c r="E104" s="56"/>
      <c r="F104" s="56"/>
      <c r="G104" s="56"/>
      <c r="H104" s="180" t="str">
        <f>IF(G104="","",(VLOOKUP(Z104,'Reference List'!$B$3:$D$173,2,FALSE)))</f>
        <v/>
      </c>
      <c r="I104" s="181" t="str">
        <f>IF(G104="","",(VLOOKUP(Z104,'Reference List'!$B$3:$F$202,5,FALSE)))</f>
        <v/>
      </c>
      <c r="J104" s="197" t="str">
        <f t="shared" si="3"/>
        <v/>
      </c>
      <c r="K104" s="56"/>
      <c r="L104" s="56"/>
      <c r="Z104" s="203">
        <v>3200540</v>
      </c>
    </row>
    <row r="105" spans="1:26" x14ac:dyDescent="0.25">
      <c r="A105" s="47">
        <v>100</v>
      </c>
      <c r="B105" s="180" t="s">
        <v>446</v>
      </c>
      <c r="C105" s="187">
        <f t="shared" si="4"/>
        <v>43833</v>
      </c>
      <c r="D105" s="56"/>
      <c r="E105" s="56"/>
      <c r="F105" s="56"/>
      <c r="G105" s="56"/>
      <c r="H105" s="180" t="str">
        <f>IF(G105="","",(VLOOKUP(Z105,'Reference List'!$B$3:$D$173,2,FALSE)))</f>
        <v/>
      </c>
      <c r="I105" s="181" t="str">
        <f>IF(G105="","",(VLOOKUP(Z105,'Reference List'!$B$3:$F$202,5,FALSE)))</f>
        <v/>
      </c>
      <c r="J105" s="197" t="str">
        <f t="shared" si="3"/>
        <v/>
      </c>
      <c r="K105" s="56"/>
      <c r="L105" s="56"/>
      <c r="Z105" s="203">
        <v>3200540</v>
      </c>
    </row>
    <row r="106" spans="1:26" x14ac:dyDescent="0.25">
      <c r="E106">
        <f>COUNTA(E7:E16)</f>
        <v>0</v>
      </c>
      <c r="K106">
        <f>SUM(K7:K16)</f>
        <v>0</v>
      </c>
    </row>
  </sheetData>
  <mergeCells count="5">
    <mergeCell ref="G4:H4"/>
    <mergeCell ref="D6:J6"/>
    <mergeCell ref="K2:L2"/>
    <mergeCell ref="K5:L5"/>
    <mergeCell ref="B17:K17"/>
  </mergeCells>
  <conditionalFormatting sqref="G43 G9:G16 G20:G24 G18">
    <cfRule type="cellIs" dxfId="37" priority="26" operator="equal">
      <formula>#N/A</formula>
    </cfRule>
  </conditionalFormatting>
  <conditionalFormatting sqref="G3 G25:G26 G7 G28:G43">
    <cfRule type="cellIs" dxfId="36" priority="25" operator="equal">
      <formula>#N/A</formula>
    </cfRule>
  </conditionalFormatting>
  <conditionalFormatting sqref="G44">
    <cfRule type="cellIs" dxfId="35" priority="24" operator="equal">
      <formula>#N/A</formula>
    </cfRule>
  </conditionalFormatting>
  <conditionalFormatting sqref="F1:F2">
    <cfRule type="cellIs" dxfId="34" priority="23" operator="equal">
      <formula>#N/A</formula>
    </cfRule>
  </conditionalFormatting>
  <conditionalFormatting sqref="G5:G6">
    <cfRule type="cellIs" dxfId="33" priority="15" operator="equal">
      <formula>#N/A</formula>
    </cfRule>
  </conditionalFormatting>
  <conditionalFormatting sqref="G8">
    <cfRule type="cellIs" dxfId="32" priority="13" operator="equal">
      <formula>#N/A</formula>
    </cfRule>
  </conditionalFormatting>
  <conditionalFormatting sqref="G27">
    <cfRule type="cellIs" dxfId="31" priority="12" operator="equal">
      <formula>#N/A</formula>
    </cfRule>
  </conditionalFormatting>
  <conditionalFormatting sqref="G19">
    <cfRule type="cellIs" dxfId="30" priority="11" operator="equal">
      <formula>#N/A</formula>
    </cfRule>
  </conditionalFormatting>
  <conditionalFormatting sqref="H7:H16 H18:H105">
    <cfRule type="cellIs" dxfId="29" priority="6" operator="equal">
      <formula>"Return"</formula>
    </cfRule>
    <cfRule type="cellIs" dxfId="28" priority="7" operator="equal">
      <formula>"Customer Pickup"</formula>
    </cfRule>
    <cfRule type="cellIs" dxfId="27" priority="8" operator="equal">
      <formula>"Bluestar Logistics"</formula>
    </cfRule>
  </conditionalFormatting>
  <conditionalFormatting sqref="B17">
    <cfRule type="cellIs" dxfId="26" priority="2" operator="equal">
      <formula>"Return"</formula>
    </cfRule>
    <cfRule type="cellIs" dxfId="25" priority="3" operator="equal">
      <formula>"Customer Pickup"</formula>
    </cfRule>
    <cfRule type="cellIs" dxfId="24" priority="4" operator="equal">
      <formula>"Bluestar Logistics"</formula>
    </cfRule>
  </conditionalFormatting>
  <conditionalFormatting sqref="E18:E105">
    <cfRule type="duplicateValues" dxfId="23" priority="1"/>
  </conditionalFormatting>
  <pageMargins left="0.7" right="0.7" top="0.75" bottom="0.75" header="0.3" footer="0.3"/>
  <pageSetup paperSize="9" scale="78" orientation="landscape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Print_CoverSheet.Print_CoverSheet">
                <anchor moveWithCells="1" sizeWithCells="1">
                  <from>
                    <xdr:col>12</xdr:col>
                    <xdr:colOff>0</xdr:colOff>
                    <xdr:row>1</xdr:row>
                    <xdr:rowOff>504825</xdr:rowOff>
                  </from>
                  <to>
                    <xdr:col>14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BillofLading.BillofLading">
                <anchor moveWithCells="1" sizeWithCells="1">
                  <from>
                    <xdr:col>9</xdr:col>
                    <xdr:colOff>2000250</xdr:colOff>
                    <xdr:row>22</xdr:row>
                    <xdr:rowOff>0</xdr:rowOff>
                  </from>
                  <to>
                    <xdr:col>10</xdr:col>
                    <xdr:colOff>1228725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Ship_Pickup">
                <anchor moveWithCells="1" sizeWithCells="1">
                  <from>
                    <xdr:col>11</xdr:col>
                    <xdr:colOff>9525</xdr:colOff>
                    <xdr:row>6</xdr:row>
                    <xdr:rowOff>0</xdr:rowOff>
                  </from>
                  <to>
                    <xdr:col>12</xdr:col>
                    <xdr:colOff>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Ship_Bluestar">
                <anchor moveWithCells="1" sizeWithCells="1">
                  <from>
                    <xdr:col>10</xdr:col>
                    <xdr:colOff>0</xdr:colOff>
                    <xdr:row>24</xdr:row>
                    <xdr:rowOff>0</xdr:rowOff>
                  </from>
                  <to>
                    <xdr:col>11</xdr:col>
                    <xdr:colOff>0</xdr:colOff>
                    <xdr:row>25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Button 5">
              <controlPr defaultSize="0" print="0" autoFill="0" autoPict="0" macro="[0]!Open_Delivery_List">
                <anchor moveWithCells="1" sizeWithCells="1">
                  <from>
                    <xdr:col>10</xdr:col>
                    <xdr:colOff>1228725</xdr:colOff>
                    <xdr:row>22</xdr:row>
                    <xdr:rowOff>0</xdr:rowOff>
                  </from>
                  <to>
                    <xdr:col>11</xdr:col>
                    <xdr:colOff>1304925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theme="9"/>
    <pageSetUpPr fitToPage="1"/>
  </sheetPr>
  <dimension ref="A1:O105"/>
  <sheetViews>
    <sheetView zoomScaleNormal="100" zoomScaleSheetLayoutView="100" workbookViewId="0">
      <selection activeCell="J1" sqref="J1:J1048576"/>
    </sheetView>
  </sheetViews>
  <sheetFormatPr defaultRowHeight="15" x14ac:dyDescent="0.25"/>
  <cols>
    <col min="1" max="1" width="12.140625" customWidth="1"/>
    <col min="2" max="2" width="12.85546875" customWidth="1"/>
    <col min="3" max="3" width="16" customWidth="1"/>
    <col min="4" max="4" width="13.85546875" customWidth="1"/>
    <col min="5" max="5" width="16" customWidth="1"/>
    <col min="6" max="6" width="36.28515625" customWidth="1"/>
    <col min="7" max="7" width="20.5703125" customWidth="1"/>
    <col min="8" max="8" width="11.85546875" customWidth="1"/>
    <col min="9" max="9" width="19.140625" customWidth="1"/>
    <col min="10" max="11" width="23.7109375" customWidth="1"/>
    <col min="12" max="12" width="13.7109375" hidden="1" customWidth="1"/>
  </cols>
  <sheetData>
    <row r="1" spans="1:15" ht="36.75" customHeight="1" thickBot="1" x14ac:dyDescent="0.3">
      <c r="A1" s="1"/>
      <c r="B1" s="1"/>
      <c r="C1" s="1"/>
      <c r="D1" s="2"/>
      <c r="E1" s="1"/>
      <c r="F1" s="1"/>
      <c r="G1" s="3"/>
      <c r="H1" s="1"/>
      <c r="I1" s="4"/>
      <c r="J1" s="4"/>
      <c r="K1" s="1"/>
    </row>
    <row r="2" spans="1:15" ht="66.75" customHeight="1" thickBot="1" x14ac:dyDescent="0.55000000000000004">
      <c r="A2" s="30"/>
      <c r="B2" s="87"/>
      <c r="C2" s="87"/>
      <c r="D2" s="30" t="s">
        <v>11</v>
      </c>
      <c r="E2" s="30"/>
      <c r="F2" s="30"/>
      <c r="G2" s="88"/>
      <c r="H2" s="89"/>
      <c r="I2" s="155" t="e">
        <f>Monday!#REF!</f>
        <v>#REF!</v>
      </c>
      <c r="J2" s="252"/>
      <c r="K2" s="253"/>
      <c r="L2" s="256"/>
    </row>
    <row r="3" spans="1:15" ht="15.75" thickBot="1" x14ac:dyDescent="0.3">
      <c r="A3" s="102"/>
      <c r="B3" s="103"/>
      <c r="C3" s="104"/>
      <c r="D3" s="95"/>
      <c r="E3" s="95"/>
      <c r="F3" s="95"/>
      <c r="G3" s="96"/>
      <c r="H3" s="95"/>
      <c r="I3" s="95"/>
      <c r="J3" s="95"/>
      <c r="K3" s="112"/>
      <c r="L3" s="97"/>
    </row>
    <row r="4" spans="1:15" ht="24" customHeight="1" thickBot="1" x14ac:dyDescent="0.4">
      <c r="A4" s="64"/>
      <c r="B4" s="65"/>
      <c r="C4" s="65"/>
      <c r="D4" s="69"/>
      <c r="E4" s="70"/>
      <c r="F4" s="251"/>
      <c r="G4" s="243"/>
      <c r="H4" s="65"/>
      <c r="I4" s="65"/>
      <c r="J4" s="65"/>
      <c r="K4" s="66"/>
      <c r="L4" s="66"/>
    </row>
    <row r="5" spans="1:15" ht="27.75" customHeight="1" thickBot="1" x14ac:dyDescent="0.3">
      <c r="A5" s="99" t="s">
        <v>463</v>
      </c>
      <c r="B5" s="99" t="s">
        <v>19</v>
      </c>
      <c r="C5" s="99" t="s">
        <v>465</v>
      </c>
      <c r="D5" s="99" t="s">
        <v>467</v>
      </c>
      <c r="E5" s="99" t="s">
        <v>466</v>
      </c>
      <c r="F5" s="99" t="s">
        <v>468</v>
      </c>
      <c r="G5" s="99" t="s">
        <v>458</v>
      </c>
      <c r="H5" s="99" t="s">
        <v>464</v>
      </c>
      <c r="I5" s="99"/>
      <c r="J5" s="99"/>
      <c r="K5" s="100" t="s">
        <v>20</v>
      </c>
      <c r="L5" s="101"/>
    </row>
    <row r="6" spans="1:15" x14ac:dyDescent="0.25">
      <c r="A6" s="68"/>
      <c r="B6" s="107"/>
      <c r="C6" s="107"/>
      <c r="D6" s="107"/>
      <c r="E6" s="108"/>
      <c r="F6" s="62"/>
      <c r="G6" s="62" t="str">
        <f>IF(C6="","",(VLOOKUP(C6,'Reference List'!$B$3:$D$173,2,FALSE)))</f>
        <v/>
      </c>
      <c r="H6" s="115"/>
      <c r="I6" s="80"/>
      <c r="J6" s="80"/>
      <c r="K6" s="80"/>
      <c r="L6" s="83"/>
      <c r="O6" s="79"/>
    </row>
    <row r="7" spans="1:15" x14ac:dyDescent="0.25">
      <c r="A7" s="54"/>
      <c r="B7" s="105"/>
      <c r="C7" s="107"/>
      <c r="D7" s="105"/>
      <c r="E7" s="106"/>
      <c r="F7" s="62"/>
      <c r="G7" s="62" t="str">
        <f>IF(C7="","",(VLOOKUP(C7,'Reference List'!$B$3:$D$173,2,FALSE)))</f>
        <v/>
      </c>
      <c r="H7" s="115"/>
      <c r="I7" s="56"/>
      <c r="J7" s="75"/>
      <c r="K7" s="56"/>
      <c r="L7" s="83"/>
      <c r="O7" s="79"/>
    </row>
    <row r="8" spans="1:15" x14ac:dyDescent="0.25">
      <c r="A8" s="54"/>
      <c r="B8" s="105"/>
      <c r="C8" s="107"/>
      <c r="D8" s="105"/>
      <c r="E8" s="105"/>
      <c r="F8" s="53"/>
      <c r="G8" s="62" t="str">
        <f>IF(C8="","",(VLOOKUP(C8,'Reference List'!$B$3:$D$173,2,FALSE)))</f>
        <v/>
      </c>
      <c r="H8" s="115"/>
      <c r="I8" s="56"/>
      <c r="J8" s="56"/>
      <c r="K8" s="56"/>
      <c r="L8" s="83"/>
    </row>
    <row r="9" spans="1:15" x14ac:dyDescent="0.25">
      <c r="A9" s="54"/>
      <c r="B9" s="105"/>
      <c r="C9" s="105"/>
      <c r="D9" s="105"/>
      <c r="E9" s="106"/>
      <c r="F9" s="53"/>
      <c r="G9" s="62" t="str">
        <f>IF(C9="","",(VLOOKUP(C9,'Reference List'!$B$3:$D$173,2,FALSE)))</f>
        <v/>
      </c>
      <c r="H9" s="115"/>
      <c r="I9" s="56"/>
      <c r="J9" s="75"/>
      <c r="K9" s="56"/>
      <c r="L9" s="83"/>
    </row>
    <row r="10" spans="1:15" x14ac:dyDescent="0.25">
      <c r="A10" s="54"/>
      <c r="B10" s="105"/>
      <c r="C10" s="105"/>
      <c r="D10" s="105"/>
      <c r="E10" s="56"/>
      <c r="F10" s="53"/>
      <c r="G10" s="62" t="str">
        <f>IF(C10="","",(VLOOKUP(C10,'Reference List'!$B$3:$D$173,2,FALSE)))</f>
        <v/>
      </c>
      <c r="H10" s="115"/>
      <c r="I10" s="56"/>
      <c r="J10" s="75"/>
      <c r="K10" s="56"/>
      <c r="L10" s="83"/>
    </row>
    <row r="11" spans="1:15" x14ac:dyDescent="0.25">
      <c r="A11" s="54"/>
      <c r="B11" s="105"/>
      <c r="C11" s="105"/>
      <c r="D11" s="105"/>
      <c r="E11" s="56"/>
      <c r="F11" s="53"/>
      <c r="G11" s="62" t="str">
        <f>IF(C11="","",(VLOOKUP(C11,'Reference List'!$B$3:$D$173,2,FALSE)))</f>
        <v/>
      </c>
      <c r="H11" s="115"/>
      <c r="I11" s="56"/>
      <c r="J11" s="75"/>
      <c r="K11" s="56"/>
      <c r="L11" s="83"/>
    </row>
    <row r="12" spans="1:15" x14ac:dyDescent="0.25">
      <c r="A12" s="54"/>
      <c r="B12" s="105"/>
      <c r="C12" s="105"/>
      <c r="D12" s="105"/>
      <c r="E12" s="56"/>
      <c r="F12" s="53"/>
      <c r="G12" s="62" t="str">
        <f>IF(C12="","",(VLOOKUP(C12,'Reference List'!$B$3:$D$173,2,FALSE)))</f>
        <v/>
      </c>
      <c r="H12" s="115"/>
      <c r="I12" s="56"/>
      <c r="J12" s="75"/>
      <c r="K12" s="56"/>
      <c r="L12" s="83"/>
    </row>
    <row r="13" spans="1:15" x14ac:dyDescent="0.25">
      <c r="A13" s="54"/>
      <c r="B13" s="105"/>
      <c r="C13" s="105"/>
      <c r="D13" s="105"/>
      <c r="E13" s="105"/>
      <c r="F13" s="53"/>
      <c r="G13" s="62" t="str">
        <f>IF(C13="","",(VLOOKUP(C13,'Reference List'!$B$3:$D$173,2,FALSE)))</f>
        <v/>
      </c>
      <c r="H13" s="115"/>
      <c r="I13" s="56"/>
      <c r="J13" s="56"/>
      <c r="K13" s="56"/>
      <c r="L13" s="83"/>
    </row>
    <row r="14" spans="1:15" x14ac:dyDescent="0.25">
      <c r="A14" s="54"/>
      <c r="B14" s="105"/>
      <c r="C14" s="105"/>
      <c r="D14" s="105"/>
      <c r="E14" s="105"/>
      <c r="F14" s="53"/>
      <c r="G14" s="62" t="str">
        <f>IF(C14="","",(VLOOKUP(C14,'Reference List'!$B$3:$D$173,2,FALSE)))</f>
        <v/>
      </c>
      <c r="H14" s="115"/>
      <c r="I14" s="56"/>
      <c r="J14" s="56"/>
      <c r="K14" s="56"/>
      <c r="L14" s="83"/>
    </row>
    <row r="15" spans="1:15" x14ac:dyDescent="0.25">
      <c r="A15" s="54"/>
      <c r="B15" s="105"/>
      <c r="C15" s="105"/>
      <c r="D15" s="105"/>
      <c r="E15" s="105"/>
      <c r="F15" s="53"/>
      <c r="G15" s="62" t="str">
        <f>IF(C15="","",(VLOOKUP(C15,'Reference List'!$B$3:$D$173,2,FALSE)))</f>
        <v/>
      </c>
      <c r="H15" s="115"/>
      <c r="I15" s="56"/>
      <c r="J15" s="56"/>
      <c r="K15" s="56"/>
      <c r="L15" s="83"/>
    </row>
    <row r="16" spans="1:15" x14ac:dyDescent="0.25">
      <c r="A16" s="54"/>
      <c r="B16" s="105"/>
      <c r="C16" s="105"/>
      <c r="D16" s="105"/>
      <c r="E16" s="105"/>
      <c r="F16" s="53"/>
      <c r="G16" s="62" t="str">
        <f>IF(C16="","",(VLOOKUP(C16,'Reference List'!$B$3:$D$173,2,FALSE)))</f>
        <v/>
      </c>
      <c r="H16" s="115"/>
      <c r="I16" s="56"/>
      <c r="J16" s="56"/>
      <c r="K16" s="56"/>
      <c r="L16" s="83"/>
    </row>
    <row r="17" spans="1:12" x14ac:dyDescent="0.25">
      <c r="A17" s="54"/>
      <c r="B17" s="105"/>
      <c r="C17" s="105"/>
      <c r="D17" s="105"/>
      <c r="E17" s="105"/>
      <c r="F17" s="53"/>
      <c r="G17" s="53" t="str">
        <f>IF(C17="","",(VLOOKUP(C17,'Reference List'!$B$3:$D$173,2,FALSE)))</f>
        <v/>
      </c>
      <c r="H17" s="142"/>
      <c r="I17" s="56"/>
      <c r="J17" s="56"/>
      <c r="K17" s="56"/>
      <c r="L17" s="83"/>
    </row>
    <row r="18" spans="1:12" x14ac:dyDescent="0.25">
      <c r="A18" s="54"/>
      <c r="B18" s="52"/>
      <c r="C18" s="52"/>
      <c r="D18" s="52"/>
      <c r="E18" s="55"/>
      <c r="F18" s="53"/>
      <c r="G18" s="53" t="str">
        <f>IF(C18="","",(VLOOKUP(C18,'Reference List'!$B$3:$D$173,2,FALSE)))</f>
        <v/>
      </c>
      <c r="H18" s="142"/>
      <c r="I18" s="56"/>
      <c r="J18" s="56"/>
      <c r="K18" s="56"/>
      <c r="L18" s="83"/>
    </row>
    <row r="19" spans="1:12" x14ac:dyDescent="0.25">
      <c r="A19" s="54"/>
      <c r="B19" s="105"/>
      <c r="C19" s="105"/>
      <c r="D19" s="105"/>
      <c r="E19" s="105"/>
      <c r="F19" s="53"/>
      <c r="G19" s="53" t="str">
        <f>IF(C19="","",(VLOOKUP(C19,'Reference List'!$B$3:$D$173,2,FALSE)))</f>
        <v/>
      </c>
      <c r="H19" s="142"/>
      <c r="I19" s="105"/>
      <c r="J19" s="105"/>
      <c r="K19" s="105"/>
      <c r="L19" s="83"/>
    </row>
    <row r="20" spans="1:12" x14ac:dyDescent="0.25">
      <c r="A20" s="54"/>
      <c r="B20" s="105"/>
      <c r="C20" s="105"/>
      <c r="D20" s="105"/>
      <c r="E20" s="105"/>
      <c r="F20" s="53" t="str">
        <f>IF(E20="","",(VLOOKUP(E20,'Reference List'!$B$3:$D$173,2,FALSE)))</f>
        <v/>
      </c>
      <c r="G20" s="53" t="str">
        <f>IF(C20="","",(VLOOKUP(C20,'Reference List'!$B$3:$D$173,2,FALSE)))</f>
        <v/>
      </c>
      <c r="H20" s="142"/>
      <c r="I20" s="105"/>
      <c r="J20" s="105"/>
      <c r="K20" s="105"/>
      <c r="L20" s="83"/>
    </row>
    <row r="21" spans="1:12" x14ac:dyDescent="0.25">
      <c r="A21" s="54"/>
      <c r="B21" s="105"/>
      <c r="C21" s="105"/>
      <c r="D21" s="105"/>
      <c r="E21" s="105"/>
      <c r="F21" s="53" t="str">
        <f>IF(E21="","",(VLOOKUP(E21,'Reference List'!$B$3:$D$173,2,FALSE)))</f>
        <v/>
      </c>
      <c r="G21" s="53" t="str">
        <f>IF(C21="","",(VLOOKUP(C21,'Reference List'!$B$3:$D$173,2,FALSE)))</f>
        <v/>
      </c>
      <c r="H21" s="142"/>
      <c r="I21" s="105"/>
      <c r="J21" s="105"/>
      <c r="K21" s="105"/>
      <c r="L21" s="83"/>
    </row>
    <row r="22" spans="1:12" x14ac:dyDescent="0.25">
      <c r="A22" s="54"/>
      <c r="B22" s="105"/>
      <c r="C22" s="105"/>
      <c r="D22" s="105"/>
      <c r="E22" s="105"/>
      <c r="F22" s="53" t="str">
        <f>IF(E22="","",(VLOOKUP(E22,'Reference List'!$B$3:$D$173,2,FALSE)))</f>
        <v/>
      </c>
      <c r="G22" s="53" t="str">
        <f>IF(C22="","",(VLOOKUP(C22,'Reference List'!$B$3:$D$173,2,FALSE)))</f>
        <v/>
      </c>
      <c r="H22" s="142"/>
      <c r="I22" s="105"/>
      <c r="J22" s="105"/>
      <c r="K22" s="105"/>
      <c r="L22" s="83"/>
    </row>
    <row r="23" spans="1:12" x14ac:dyDescent="0.25">
      <c r="A23" s="54"/>
      <c r="B23" s="105"/>
      <c r="C23" s="105"/>
      <c r="D23" s="105"/>
      <c r="E23" s="105"/>
      <c r="F23" s="53" t="str">
        <f>IF(E23="","",(VLOOKUP(E23,'Reference List'!$B$3:$D$173,2,FALSE)))</f>
        <v/>
      </c>
      <c r="G23" s="53" t="str">
        <f>IF(C23="","",(VLOOKUP(C23,'Reference List'!$B$3:$D$173,2,FALSE)))</f>
        <v/>
      </c>
      <c r="H23" s="142"/>
      <c r="I23" s="105"/>
      <c r="J23" s="105"/>
      <c r="K23" s="105"/>
      <c r="L23" s="83"/>
    </row>
    <row r="24" spans="1:12" x14ac:dyDescent="0.25">
      <c r="A24" s="68"/>
      <c r="B24" s="111"/>
      <c r="C24" s="111"/>
      <c r="D24" s="111"/>
      <c r="E24" s="111"/>
      <c r="F24" s="76"/>
      <c r="G24" s="53" t="str">
        <f>IF(C24="","",(VLOOKUP(C24,'Reference List'!$B$3:$D$173,2,FALSE)))</f>
        <v/>
      </c>
      <c r="H24" s="142"/>
      <c r="I24" s="56"/>
      <c r="J24" s="78"/>
      <c r="K24" s="56"/>
      <c r="L24" s="83"/>
    </row>
    <row r="25" spans="1:12" x14ac:dyDescent="0.25">
      <c r="A25" s="54"/>
      <c r="B25" s="111"/>
      <c r="C25" s="111"/>
      <c r="D25" s="111"/>
      <c r="E25" s="111"/>
      <c r="F25" s="76"/>
      <c r="G25" s="53" t="str">
        <f>IF(C25="","",(VLOOKUP(C25,'Reference List'!$B$3:$D$173,2,FALSE)))</f>
        <v/>
      </c>
      <c r="H25" s="142"/>
      <c r="I25" s="56"/>
      <c r="J25" s="77"/>
      <c r="K25" s="56"/>
      <c r="L25" s="82"/>
    </row>
    <row r="26" spans="1:12" x14ac:dyDescent="0.25">
      <c r="A26" s="54"/>
      <c r="B26" s="111"/>
      <c r="C26" s="111"/>
      <c r="D26" s="111"/>
      <c r="E26" s="111"/>
      <c r="F26" s="53"/>
      <c r="G26" s="53" t="str">
        <f>IF(C26="","",(VLOOKUP(C26,'Reference List'!$B$3:$D$173,2,FALSE)))</f>
        <v/>
      </c>
      <c r="H26" s="142"/>
      <c r="I26" s="56"/>
      <c r="J26" s="78"/>
      <c r="K26" s="56"/>
      <c r="L26" s="82"/>
    </row>
    <row r="27" spans="1:12" x14ac:dyDescent="0.25">
      <c r="A27" s="54"/>
      <c r="B27" s="111"/>
      <c r="C27" s="111"/>
      <c r="D27" s="111"/>
      <c r="E27" s="111"/>
      <c r="F27" s="76"/>
      <c r="G27" s="53" t="str">
        <f>IF(C27="","",(VLOOKUP(C27,'Reference List'!$B$3:$D$173,2,FALSE)))</f>
        <v/>
      </c>
      <c r="H27" s="142"/>
      <c r="I27" s="56"/>
      <c r="J27" s="78"/>
      <c r="K27" s="56"/>
      <c r="L27" s="82"/>
    </row>
    <row r="28" spans="1:12" x14ac:dyDescent="0.25">
      <c r="A28" s="54"/>
      <c r="B28" s="111"/>
      <c r="C28" s="111"/>
      <c r="D28" s="111"/>
      <c r="E28" s="111"/>
      <c r="F28" s="76"/>
      <c r="G28" s="62" t="str">
        <f>IF(C28="","",(VLOOKUP(C28,'Reference List'!$B$3:$D$173,2,FALSE)))</f>
        <v/>
      </c>
      <c r="H28" s="115"/>
      <c r="I28" s="56"/>
      <c r="J28" s="78"/>
      <c r="K28" s="56"/>
      <c r="L28" s="82"/>
    </row>
    <row r="29" spans="1:12" x14ac:dyDescent="0.25">
      <c r="A29" s="54"/>
      <c r="B29" s="111"/>
      <c r="C29" s="111"/>
      <c r="D29" s="111"/>
      <c r="E29" s="111"/>
      <c r="F29" s="76"/>
      <c r="G29" s="62" t="str">
        <f>IF(C29="","",(VLOOKUP(C29,'Reference List'!$B$3:$D$173,2,FALSE)))</f>
        <v/>
      </c>
      <c r="H29" s="115"/>
      <c r="I29" s="56"/>
      <c r="J29" s="77"/>
      <c r="K29" s="56"/>
      <c r="L29" s="82"/>
    </row>
    <row r="30" spans="1:12" x14ac:dyDescent="0.25">
      <c r="A30" s="54"/>
      <c r="B30" s="111"/>
      <c r="C30" s="111"/>
      <c r="D30" s="111"/>
      <c r="E30" s="111"/>
      <c r="F30" s="76"/>
      <c r="G30" s="62" t="str">
        <f>IF(C30="","",(VLOOKUP(C30,'Reference List'!$B$3:$D$173,2,FALSE)))</f>
        <v/>
      </c>
      <c r="H30" s="115"/>
      <c r="I30" s="56"/>
      <c r="J30" s="77"/>
      <c r="K30" s="56"/>
      <c r="L30" s="82"/>
    </row>
    <row r="31" spans="1:12" x14ac:dyDescent="0.25">
      <c r="A31" s="54"/>
      <c r="B31" s="105"/>
      <c r="C31" s="105"/>
      <c r="D31" s="105"/>
      <c r="E31" s="105"/>
      <c r="F31" s="53"/>
      <c r="G31" s="62" t="str">
        <f>IF(C31="","",(VLOOKUP(C31,'Reference List'!$B$3:$D$173,2,FALSE)))</f>
        <v/>
      </c>
      <c r="H31" s="115"/>
      <c r="I31" s="56"/>
      <c r="J31" s="56"/>
      <c r="K31" s="56"/>
      <c r="L31" s="82"/>
    </row>
    <row r="32" spans="1:12" x14ac:dyDescent="0.25">
      <c r="A32" s="54"/>
      <c r="B32" s="105"/>
      <c r="C32" s="105"/>
      <c r="D32" s="105"/>
      <c r="E32" s="105"/>
      <c r="F32" s="53"/>
      <c r="G32" s="62" t="str">
        <f>IF(C32="","",(VLOOKUP(C32,'Reference List'!$B$3:$D$173,2,FALSE)))</f>
        <v/>
      </c>
      <c r="H32" s="115"/>
      <c r="I32" s="56"/>
      <c r="J32" s="56"/>
      <c r="K32" s="56"/>
      <c r="L32" s="82"/>
    </row>
    <row r="33" spans="1:12" x14ac:dyDescent="0.25">
      <c r="A33" s="54"/>
      <c r="B33" s="105"/>
      <c r="C33" s="105"/>
      <c r="D33" s="105"/>
      <c r="E33" s="105"/>
      <c r="F33" s="53" t="str">
        <f>IF(E33="","",(VLOOKUP(E33,'Reference List'!$B$3:$D$173,2,FALSE)))</f>
        <v/>
      </c>
      <c r="G33" s="62" t="str">
        <f>IF(C33="","",(VLOOKUP(C33,'Reference List'!$B$3:$D$173,2,FALSE)))</f>
        <v/>
      </c>
      <c r="H33" s="115"/>
      <c r="I33" s="56"/>
      <c r="J33" s="56"/>
      <c r="K33" s="56"/>
      <c r="L33" s="82"/>
    </row>
    <row r="34" spans="1:12" x14ac:dyDescent="0.25">
      <c r="A34" s="54"/>
      <c r="B34" s="105"/>
      <c r="C34" s="105"/>
      <c r="D34" s="105"/>
      <c r="E34" s="105"/>
      <c r="F34" s="53" t="str">
        <f>IF(E34="","",(VLOOKUP(E34,'Reference List'!$B$3:$D$173,2,FALSE)))</f>
        <v/>
      </c>
      <c r="G34" s="62" t="str">
        <f>IF(C34="","",(VLOOKUP(C34,'Reference List'!$B$3:$D$173,2,FALSE)))</f>
        <v/>
      </c>
      <c r="H34" s="115"/>
      <c r="I34" s="56"/>
      <c r="J34" s="56"/>
      <c r="K34" s="56"/>
      <c r="L34" s="82"/>
    </row>
    <row r="35" spans="1:12" x14ac:dyDescent="0.25">
      <c r="A35" s="54"/>
      <c r="B35" s="105"/>
      <c r="C35" s="105"/>
      <c r="D35" s="105"/>
      <c r="E35" s="105"/>
      <c r="F35" s="53" t="str">
        <f>IF(E35="","",(VLOOKUP(E35,'Reference List'!$B$3:$D$173,2,FALSE)))</f>
        <v/>
      </c>
      <c r="G35" s="62" t="str">
        <f>IF(C35="","",(VLOOKUP(C35,'Reference List'!$B$3:$D$173,2,FALSE)))</f>
        <v/>
      </c>
      <c r="H35" s="115"/>
      <c r="I35" s="56"/>
      <c r="J35" s="56"/>
      <c r="K35" s="56"/>
      <c r="L35" s="82"/>
    </row>
    <row r="36" spans="1:12" x14ac:dyDescent="0.25">
      <c r="A36" s="54"/>
      <c r="B36" s="105"/>
      <c r="C36" s="105"/>
      <c r="D36" s="56"/>
      <c r="E36" s="56"/>
      <c r="F36" s="53" t="str">
        <f>IF(E36="","",(VLOOKUP(E36,'Reference List'!$B$3:$D$173,2,FALSE)))</f>
        <v/>
      </c>
      <c r="G36" s="62" t="str">
        <f>IF(C36="","",(VLOOKUP(C36,'Reference List'!$B$3:$D$173,2,FALSE)))</f>
        <v/>
      </c>
      <c r="H36" s="115"/>
      <c r="I36" s="56"/>
      <c r="J36" s="56"/>
      <c r="K36" s="56"/>
      <c r="L36" s="82"/>
    </row>
    <row r="37" spans="1:12" x14ac:dyDescent="0.25">
      <c r="A37" s="54"/>
      <c r="B37" s="56"/>
      <c r="C37" s="56"/>
      <c r="D37" s="56"/>
      <c r="E37" s="56"/>
      <c r="F37" s="53" t="str">
        <f>IF(E37="","",(VLOOKUP(E37,'Reference List'!$B$3:$D$173,2,FALSE)))</f>
        <v/>
      </c>
      <c r="G37" s="62" t="str">
        <f>IF(C37="","",(VLOOKUP(C37,'Reference List'!$B$3:$D$173,2,FALSE)))</f>
        <v/>
      </c>
      <c r="H37" s="115"/>
      <c r="I37" s="56"/>
      <c r="J37" s="56"/>
      <c r="K37" s="56"/>
      <c r="L37" s="82"/>
    </row>
    <row r="38" spans="1:12" x14ac:dyDescent="0.25">
      <c r="A38" s="54"/>
      <c r="B38" s="57"/>
      <c r="C38" s="57"/>
      <c r="D38" s="57"/>
      <c r="E38" s="56"/>
      <c r="F38" s="53" t="str">
        <f>IF(E38="","",(VLOOKUP(E38,'Reference List'!$B$3:$D$173,2,FALSE)))</f>
        <v/>
      </c>
      <c r="G38" s="62" t="str">
        <f>IF(C38="","",(VLOOKUP(C38,'Reference List'!$B$3:$D$173,2,FALSE)))</f>
        <v/>
      </c>
      <c r="H38" s="115"/>
      <c r="I38" s="56"/>
      <c r="J38" s="56"/>
      <c r="K38" s="56"/>
      <c r="L38" s="82"/>
    </row>
    <row r="39" spans="1:12" x14ac:dyDescent="0.25">
      <c r="A39" s="54"/>
      <c r="B39" s="56"/>
      <c r="C39" s="56"/>
      <c r="D39" s="56"/>
      <c r="E39" s="56"/>
      <c r="F39" s="53" t="str">
        <f>IF(E39="","",(VLOOKUP(E39,'Reference List'!$B$3:$D$173,2,FALSE)))</f>
        <v/>
      </c>
      <c r="G39" s="62" t="str">
        <f>IF(C39="","",(VLOOKUP(C39,'Reference List'!$B$3:$D$173,2,FALSE)))</f>
        <v/>
      </c>
      <c r="H39" s="115"/>
      <c r="I39" s="56"/>
      <c r="J39" s="56"/>
      <c r="K39" s="56"/>
      <c r="L39" s="82"/>
    </row>
    <row r="40" spans="1:12" x14ac:dyDescent="0.25">
      <c r="A40" s="54"/>
      <c r="B40" s="56"/>
      <c r="C40" s="56"/>
      <c r="D40" s="56"/>
      <c r="E40" s="56"/>
      <c r="F40" s="53" t="str">
        <f>IF(E40="","",(VLOOKUP(E40,'Reference List'!$B$3:$D$173,2,FALSE)))</f>
        <v/>
      </c>
      <c r="G40" s="62" t="str">
        <f>IF(C40="","",(VLOOKUP(C40,'Reference List'!$B$3:$D$173,2,FALSE)))</f>
        <v/>
      </c>
      <c r="H40" s="115"/>
      <c r="I40" s="56"/>
      <c r="J40" s="56"/>
      <c r="K40" s="56"/>
      <c r="L40" s="82"/>
    </row>
    <row r="41" spans="1:12" x14ac:dyDescent="0.25">
      <c r="A41" s="54"/>
      <c r="B41" s="56"/>
      <c r="C41" s="56"/>
      <c r="D41" s="56"/>
      <c r="E41" s="56"/>
      <c r="F41" s="53" t="str">
        <f>IF(E41="","",(VLOOKUP(E41,'Reference List'!$B$3:$D$173,2,FALSE)))</f>
        <v/>
      </c>
      <c r="G41" s="62" t="str">
        <f>IF(C41="","",(VLOOKUP(C41,'Reference List'!$B$3:$D$173,2,FALSE)))</f>
        <v/>
      </c>
      <c r="H41" s="115"/>
      <c r="I41" s="56"/>
      <c r="J41" s="56"/>
      <c r="K41" s="56"/>
      <c r="L41" s="82"/>
    </row>
    <row r="42" spans="1:12" x14ac:dyDescent="0.25">
      <c r="A42" s="54"/>
      <c r="B42" s="56"/>
      <c r="C42" s="56"/>
      <c r="D42" s="56"/>
      <c r="E42" s="56"/>
      <c r="F42" s="53" t="str">
        <f>IF(E42="","",(VLOOKUP(E42,'Reference List'!$B$3:$D$173,2,FALSE)))</f>
        <v/>
      </c>
      <c r="G42" s="62" t="str">
        <f>IF(C42="","",(VLOOKUP(C42,'Reference List'!$B$3:$D$173,2,FALSE)))</f>
        <v/>
      </c>
      <c r="H42" s="115"/>
      <c r="I42" s="56"/>
      <c r="J42" s="56"/>
      <c r="K42" s="56"/>
      <c r="L42" s="82"/>
    </row>
    <row r="43" spans="1:12" x14ac:dyDescent="0.25">
      <c r="A43" s="54"/>
      <c r="B43" s="56"/>
      <c r="C43" s="56"/>
      <c r="D43" s="56"/>
      <c r="E43" s="56"/>
      <c r="F43" s="53" t="str">
        <f>IF(E43="","",(VLOOKUP(E43,'Reference List'!$B$3:$D$173,2,FALSE)))</f>
        <v/>
      </c>
      <c r="G43" s="62" t="str">
        <f>IF(C43="","",(VLOOKUP(C43,'Reference List'!$B$3:$D$173,2,FALSE)))</f>
        <v/>
      </c>
      <c r="H43" s="115"/>
      <c r="I43" s="56"/>
      <c r="J43" s="56"/>
      <c r="K43" s="56"/>
      <c r="L43" s="82"/>
    </row>
    <row r="44" spans="1:12" x14ac:dyDescent="0.25">
      <c r="A44" s="54"/>
      <c r="B44" s="56"/>
      <c r="C44" s="56"/>
      <c r="D44" s="56"/>
      <c r="E44" s="56"/>
      <c r="F44" s="53" t="str">
        <f>IF(E44="","",(VLOOKUP(E44,'Reference List'!$B$3:$D$168,2,FALSE)))</f>
        <v/>
      </c>
      <c r="G44" s="62" t="str">
        <f>IF(C44="","",(VLOOKUP(C44,'Reference List'!$B$3:$D$173,2,FALSE)))</f>
        <v/>
      </c>
      <c r="H44" s="115"/>
      <c r="I44" s="56"/>
      <c r="J44" s="56"/>
      <c r="K44" s="56"/>
      <c r="L44" s="82"/>
    </row>
    <row r="45" spans="1:12" x14ac:dyDescent="0.25">
      <c r="A45" s="54"/>
      <c r="B45" s="56"/>
      <c r="C45" s="56"/>
      <c r="D45" s="56"/>
      <c r="E45" s="56"/>
      <c r="F45" s="56"/>
      <c r="G45" s="62" t="str">
        <f>IF(C45="","",(VLOOKUP(C45,'Reference List'!$B$3:$D$173,2,FALSE)))</f>
        <v/>
      </c>
      <c r="H45" s="115"/>
      <c r="I45" s="56"/>
      <c r="J45" s="56"/>
      <c r="K45" s="56"/>
      <c r="L45" s="82"/>
    </row>
    <row r="46" spans="1:12" x14ac:dyDescent="0.25">
      <c r="A46" s="54"/>
      <c r="B46" s="56"/>
      <c r="C46" s="56"/>
      <c r="D46" s="56"/>
      <c r="E46" s="56"/>
      <c r="F46" s="56"/>
      <c r="G46" s="62" t="str">
        <f>IF(C46="","",(VLOOKUP(C46,'Reference List'!$B$3:$D$173,2,FALSE)))</f>
        <v/>
      </c>
      <c r="H46" s="115"/>
      <c r="I46" s="56"/>
      <c r="J46" s="56"/>
      <c r="K46" s="56"/>
      <c r="L46" s="82"/>
    </row>
    <row r="47" spans="1:12" x14ac:dyDescent="0.25">
      <c r="A47" s="54"/>
      <c r="B47" s="56"/>
      <c r="C47" s="56"/>
      <c r="D47" s="56"/>
      <c r="E47" s="56"/>
      <c r="F47" s="56"/>
      <c r="G47" s="62" t="str">
        <f>IF(C47="","",(VLOOKUP(C47,'Reference List'!$B$3:$D$173,2,FALSE)))</f>
        <v/>
      </c>
      <c r="H47" s="115"/>
      <c r="I47" s="56"/>
      <c r="J47" s="56"/>
      <c r="K47" s="56"/>
      <c r="L47" s="82"/>
    </row>
    <row r="48" spans="1:12" x14ac:dyDescent="0.25">
      <c r="A48" s="54"/>
      <c r="B48" s="56"/>
      <c r="C48" s="56"/>
      <c r="D48" s="56"/>
      <c r="E48" s="56"/>
      <c r="F48" s="56"/>
      <c r="G48" s="62" t="str">
        <f>IF(C48="","",(VLOOKUP(C48,'Reference List'!$B$3:$D$173,2,FALSE)))</f>
        <v/>
      </c>
      <c r="H48" s="115"/>
      <c r="I48" s="56"/>
      <c r="J48" s="56"/>
      <c r="K48" s="56"/>
      <c r="L48" s="82"/>
    </row>
    <row r="49" spans="1:12" x14ac:dyDescent="0.25">
      <c r="A49" s="54"/>
      <c r="B49" s="56"/>
      <c r="C49" s="56"/>
      <c r="D49" s="56"/>
      <c r="E49" s="56"/>
      <c r="F49" s="56"/>
      <c r="G49" s="62" t="str">
        <f>IF(C49="","",(VLOOKUP(C49,'Reference List'!$B$3:$D$173,2,FALSE)))</f>
        <v/>
      </c>
      <c r="H49" s="115"/>
      <c r="I49" s="56"/>
      <c r="J49" s="56"/>
      <c r="K49" s="56"/>
      <c r="L49" s="82"/>
    </row>
    <row r="50" spans="1:12" x14ac:dyDescent="0.25">
      <c r="A50" s="54"/>
      <c r="B50" s="56"/>
      <c r="C50" s="56"/>
      <c r="D50" s="56"/>
      <c r="E50" s="56"/>
      <c r="F50" s="56"/>
      <c r="G50" s="62" t="str">
        <f>IF(C50="","",(VLOOKUP(C50,'Reference List'!$B$3:$D$173,2,FALSE)))</f>
        <v/>
      </c>
      <c r="H50" s="115"/>
      <c r="I50" s="56"/>
      <c r="J50" s="56"/>
      <c r="K50" s="56"/>
      <c r="L50" s="82"/>
    </row>
    <row r="51" spans="1:12" x14ac:dyDescent="0.25">
      <c r="A51" s="54"/>
      <c r="B51" s="56"/>
      <c r="C51" s="56"/>
      <c r="D51" s="56"/>
      <c r="E51" s="56"/>
      <c r="F51" s="56"/>
      <c r="G51" s="62" t="str">
        <f>IF(C51="","",(VLOOKUP(C51,'Reference List'!$B$3:$D$173,2,FALSE)))</f>
        <v/>
      </c>
      <c r="H51" s="115"/>
      <c r="I51" s="56"/>
      <c r="J51" s="56"/>
      <c r="K51" s="56"/>
      <c r="L51" s="82"/>
    </row>
    <row r="52" spans="1:12" x14ac:dyDescent="0.25">
      <c r="A52" s="54"/>
      <c r="B52" s="56"/>
      <c r="C52" s="56"/>
      <c r="D52" s="56"/>
      <c r="E52" s="56"/>
      <c r="F52" s="56"/>
      <c r="G52" s="62" t="str">
        <f>IF(C52="","",(VLOOKUP(C52,'Reference List'!$B$3:$D$173,2,FALSE)))</f>
        <v/>
      </c>
      <c r="H52" s="115"/>
      <c r="I52" s="56"/>
      <c r="J52" s="56"/>
      <c r="K52" s="56"/>
      <c r="L52" s="82"/>
    </row>
    <row r="53" spans="1:12" x14ac:dyDescent="0.25">
      <c r="A53" s="54"/>
      <c r="B53" s="56"/>
      <c r="C53" s="56"/>
      <c r="D53" s="56"/>
      <c r="E53" s="56"/>
      <c r="F53" s="56"/>
      <c r="G53" s="62" t="str">
        <f>IF(C53="","",(VLOOKUP(C53,'Reference List'!$B$3:$D$173,2,FALSE)))</f>
        <v/>
      </c>
      <c r="H53" s="115"/>
      <c r="I53" s="56"/>
      <c r="J53" s="56"/>
      <c r="K53" s="56"/>
      <c r="L53" s="82"/>
    </row>
    <row r="54" spans="1:12" x14ac:dyDescent="0.25">
      <c r="A54" s="54"/>
      <c r="B54" s="56"/>
      <c r="C54" s="56"/>
      <c r="D54" s="56"/>
      <c r="E54" s="56"/>
      <c r="F54" s="56"/>
      <c r="G54" s="62" t="str">
        <f>IF(C54="","",(VLOOKUP(C54,'Reference List'!$B$3:$D$173,2,FALSE)))</f>
        <v/>
      </c>
      <c r="H54" s="115"/>
      <c r="I54" s="56"/>
      <c r="J54" s="56"/>
      <c r="K54" s="56"/>
      <c r="L54" s="82"/>
    </row>
    <row r="55" spans="1:12" x14ac:dyDescent="0.25">
      <c r="A55" s="54"/>
      <c r="B55" s="56"/>
      <c r="C55" s="56"/>
      <c r="D55" s="56"/>
      <c r="E55" s="56"/>
      <c r="F55" s="56"/>
      <c r="G55" s="62" t="str">
        <f>IF(C55="","",(VLOOKUP(C55,'Reference List'!$B$3:$D$173,2,FALSE)))</f>
        <v/>
      </c>
      <c r="H55" s="115"/>
      <c r="I55" s="56"/>
      <c r="J55" s="56"/>
      <c r="K55" s="56"/>
      <c r="L55" s="82"/>
    </row>
    <row r="56" spans="1:12" x14ac:dyDescent="0.25">
      <c r="A56" s="54"/>
      <c r="B56" s="56"/>
      <c r="C56" s="56"/>
      <c r="D56" s="56"/>
      <c r="E56" s="56"/>
      <c r="F56" s="56"/>
      <c r="G56" s="62" t="str">
        <f>IF(C56="","",(VLOOKUP(C56,'Reference List'!$B$3:$D$173,2,FALSE)))</f>
        <v/>
      </c>
      <c r="H56" s="115"/>
      <c r="I56" s="56"/>
      <c r="J56" s="56"/>
      <c r="K56" s="56"/>
      <c r="L56" s="82"/>
    </row>
    <row r="57" spans="1:12" x14ac:dyDescent="0.25">
      <c r="A57" s="54"/>
      <c r="B57" s="56"/>
      <c r="C57" s="56"/>
      <c r="D57" s="56"/>
      <c r="E57" s="56"/>
      <c r="F57" s="56"/>
      <c r="G57" s="62" t="str">
        <f>IF(C57="","",(VLOOKUP(C57,'Reference List'!$B$3:$D$173,2,FALSE)))</f>
        <v/>
      </c>
      <c r="H57" s="115"/>
      <c r="I57" s="56"/>
      <c r="J57" s="56"/>
      <c r="K57" s="56"/>
      <c r="L57" s="82"/>
    </row>
    <row r="58" spans="1:12" x14ac:dyDescent="0.25">
      <c r="A58" s="54"/>
      <c r="B58" s="56"/>
      <c r="C58" s="56"/>
      <c r="D58" s="56"/>
      <c r="E58" s="56"/>
      <c r="F58" s="56"/>
      <c r="G58" s="62" t="str">
        <f>IF(C58="","",(VLOOKUP(C58,'Reference List'!$B$3:$D$173,2,FALSE)))</f>
        <v/>
      </c>
      <c r="H58" s="115"/>
      <c r="I58" s="56"/>
      <c r="J58" s="56"/>
      <c r="K58" s="56"/>
      <c r="L58" s="82"/>
    </row>
    <row r="59" spans="1:12" x14ac:dyDescent="0.25">
      <c r="A59" s="54"/>
      <c r="B59" s="56"/>
      <c r="C59" s="56"/>
      <c r="D59" s="56"/>
      <c r="E59" s="56"/>
      <c r="F59" s="56"/>
      <c r="G59" s="62" t="str">
        <f>IF(C59="","",(VLOOKUP(C59,'Reference List'!$B$3:$D$173,2,FALSE)))</f>
        <v/>
      </c>
      <c r="H59" s="115"/>
      <c r="I59" s="56"/>
      <c r="J59" s="56"/>
      <c r="K59" s="56"/>
      <c r="L59" s="82"/>
    </row>
    <row r="60" spans="1:12" x14ac:dyDescent="0.25">
      <c r="A60" s="54"/>
      <c r="B60" s="56"/>
      <c r="C60" s="56"/>
      <c r="D60" s="56"/>
      <c r="E60" s="56"/>
      <c r="F60" s="56"/>
      <c r="G60" s="62" t="str">
        <f>IF(C60="","",(VLOOKUP(C60,'Reference List'!$B$3:$D$173,2,FALSE)))</f>
        <v/>
      </c>
      <c r="H60" s="115"/>
      <c r="I60" s="56"/>
      <c r="J60" s="56"/>
      <c r="K60" s="56"/>
      <c r="L60" s="82"/>
    </row>
    <row r="61" spans="1:12" x14ac:dyDescent="0.25">
      <c r="A61" s="54"/>
      <c r="B61" s="56"/>
      <c r="C61" s="56"/>
      <c r="D61" s="56"/>
      <c r="E61" s="56"/>
      <c r="F61" s="56"/>
      <c r="G61" s="62" t="str">
        <f>IF(C61="","",(VLOOKUP(C61,'Reference List'!$B$3:$D$173,2,FALSE)))</f>
        <v/>
      </c>
      <c r="H61" s="115"/>
      <c r="I61" s="56"/>
      <c r="J61" s="56"/>
      <c r="K61" s="56"/>
      <c r="L61" s="82"/>
    </row>
    <row r="62" spans="1:12" x14ac:dyDescent="0.25">
      <c r="A62" s="54"/>
      <c r="B62" s="56"/>
      <c r="C62" s="56"/>
      <c r="D62" s="56"/>
      <c r="E62" s="56"/>
      <c r="F62" s="56"/>
      <c r="G62" s="62" t="str">
        <f>IF(C62="","",(VLOOKUP(C62,'Reference List'!$B$3:$D$173,2,FALSE)))</f>
        <v/>
      </c>
      <c r="H62" s="115"/>
      <c r="I62" s="56"/>
      <c r="J62" s="56"/>
      <c r="K62" s="56"/>
      <c r="L62" s="82"/>
    </row>
    <row r="63" spans="1:12" x14ac:dyDescent="0.25">
      <c r="A63" s="54"/>
      <c r="B63" s="56"/>
      <c r="C63" s="56"/>
      <c r="D63" s="56"/>
      <c r="E63" s="56"/>
      <c r="F63" s="56"/>
      <c r="G63" s="62" t="str">
        <f>IF(C63="","",(VLOOKUP(C63,'Reference List'!$B$3:$D$173,2,FALSE)))</f>
        <v/>
      </c>
      <c r="H63" s="115"/>
      <c r="I63" s="56"/>
      <c r="J63" s="56"/>
      <c r="K63" s="56"/>
      <c r="L63" s="82"/>
    </row>
    <row r="64" spans="1:12" x14ac:dyDescent="0.25">
      <c r="A64" s="54"/>
      <c r="B64" s="56"/>
      <c r="C64" s="56"/>
      <c r="D64" s="56"/>
      <c r="E64" s="56"/>
      <c r="F64" s="56"/>
      <c r="G64" s="62" t="str">
        <f>IF(C64="","",(VLOOKUP(C64,'Reference List'!$B$3:$D$173,2,FALSE)))</f>
        <v/>
      </c>
      <c r="H64" s="115"/>
      <c r="I64" s="56"/>
      <c r="J64" s="56"/>
      <c r="K64" s="56"/>
      <c r="L64" s="82"/>
    </row>
    <row r="65" spans="1:12" x14ac:dyDescent="0.25">
      <c r="A65" s="54"/>
      <c r="B65" s="56"/>
      <c r="C65" s="56"/>
      <c r="D65" s="56"/>
      <c r="E65" s="56"/>
      <c r="F65" s="56"/>
      <c r="G65" s="62" t="str">
        <f>IF(C65="","",(VLOOKUP(C65,'Reference List'!$B$3:$D$173,2,FALSE)))</f>
        <v/>
      </c>
      <c r="H65" s="115"/>
      <c r="I65" s="56"/>
      <c r="J65" s="56"/>
      <c r="K65" s="56"/>
      <c r="L65" s="82"/>
    </row>
    <row r="66" spans="1:12" x14ac:dyDescent="0.25">
      <c r="A66" s="54"/>
      <c r="B66" s="56"/>
      <c r="C66" s="56"/>
      <c r="D66" s="56"/>
      <c r="E66" s="56"/>
      <c r="F66" s="56"/>
      <c r="G66" s="62" t="str">
        <f>IF(C66="","",(VLOOKUP(C66,'Reference List'!$B$3:$D$173,2,FALSE)))</f>
        <v/>
      </c>
      <c r="H66" s="115"/>
      <c r="I66" s="56"/>
      <c r="J66" s="56"/>
      <c r="K66" s="56"/>
      <c r="L66" s="82"/>
    </row>
    <row r="67" spans="1:12" x14ac:dyDescent="0.25">
      <c r="A67" s="54"/>
      <c r="B67" s="56"/>
      <c r="C67" s="56"/>
      <c r="D67" s="56"/>
      <c r="E67" s="56"/>
      <c r="F67" s="56"/>
      <c r="G67" s="62" t="str">
        <f>IF(C67="","",(VLOOKUP(C67,'Reference List'!$B$3:$D$173,2,FALSE)))</f>
        <v/>
      </c>
      <c r="H67" s="115"/>
      <c r="I67" s="56"/>
      <c r="J67" s="56"/>
      <c r="K67" s="56"/>
      <c r="L67" s="82"/>
    </row>
    <row r="68" spans="1:12" x14ac:dyDescent="0.25">
      <c r="A68" s="54"/>
      <c r="B68" s="56"/>
      <c r="C68" s="56"/>
      <c r="D68" s="56"/>
      <c r="E68" s="56"/>
      <c r="F68" s="56"/>
      <c r="G68" s="62" t="str">
        <f>IF(C68="","",(VLOOKUP(C68,'Reference List'!$B$3:$D$173,2,FALSE)))</f>
        <v/>
      </c>
      <c r="H68" s="115"/>
      <c r="I68" s="56"/>
      <c r="J68" s="56"/>
      <c r="K68" s="56"/>
      <c r="L68" s="56"/>
    </row>
    <row r="69" spans="1:12" x14ac:dyDescent="0.25">
      <c r="A69" s="54"/>
      <c r="B69" s="56"/>
      <c r="C69" s="56"/>
      <c r="D69" s="56"/>
      <c r="E69" s="56"/>
      <c r="F69" s="56"/>
      <c r="G69" s="62" t="str">
        <f>IF(C69="","",(VLOOKUP(C69,'Reference List'!$B$3:$D$173,2,FALSE)))</f>
        <v/>
      </c>
      <c r="H69" s="115"/>
      <c r="I69" s="56"/>
      <c r="J69" s="56"/>
      <c r="K69" s="56"/>
      <c r="L69" s="56"/>
    </row>
    <row r="70" spans="1:12" x14ac:dyDescent="0.25">
      <c r="A70" s="54"/>
      <c r="B70" s="56"/>
      <c r="C70" s="56"/>
      <c r="D70" s="56"/>
      <c r="E70" s="56"/>
      <c r="F70" s="56"/>
      <c r="G70" s="62" t="str">
        <f>IF(C70="","",(VLOOKUP(C70,'Reference List'!$B$3:$D$173,2,FALSE)))</f>
        <v/>
      </c>
      <c r="H70" s="115"/>
      <c r="I70" s="56"/>
      <c r="J70" s="56"/>
      <c r="K70" s="56"/>
      <c r="L70" s="56"/>
    </row>
    <row r="71" spans="1:12" x14ac:dyDescent="0.25">
      <c r="A71" s="54"/>
      <c r="B71" s="56"/>
      <c r="C71" s="56"/>
      <c r="D71" s="56"/>
      <c r="E71" s="56"/>
      <c r="F71" s="56"/>
      <c r="G71" s="62" t="str">
        <f>IF(C71="","",(VLOOKUP(C71,'Reference List'!$B$3:$D$173,2,FALSE)))</f>
        <v/>
      </c>
      <c r="H71" s="115"/>
      <c r="I71" s="56"/>
      <c r="J71" s="56"/>
      <c r="K71" s="56"/>
      <c r="L71" s="56"/>
    </row>
    <row r="72" spans="1:12" x14ac:dyDescent="0.25">
      <c r="A72" s="54"/>
      <c r="B72" s="56"/>
      <c r="C72" s="56"/>
      <c r="D72" s="56"/>
      <c r="E72" s="56"/>
      <c r="F72" s="56"/>
      <c r="G72" s="62" t="str">
        <f>IF(C72="","",(VLOOKUP(C72,'Reference List'!$B$3:$D$173,2,FALSE)))</f>
        <v/>
      </c>
      <c r="H72" s="115"/>
      <c r="I72" s="56"/>
      <c r="J72" s="56"/>
      <c r="K72" s="56"/>
      <c r="L72" s="56"/>
    </row>
    <row r="73" spans="1:12" x14ac:dyDescent="0.25">
      <c r="A73" s="54"/>
      <c r="B73" s="56"/>
      <c r="C73" s="56"/>
      <c r="D73" s="56"/>
      <c r="E73" s="56"/>
      <c r="F73" s="56"/>
      <c r="G73" s="62" t="str">
        <f>IF(C73="","",(VLOOKUP(C73,'Reference List'!$B$3:$D$173,2,FALSE)))</f>
        <v/>
      </c>
      <c r="H73" s="115"/>
      <c r="I73" s="56"/>
      <c r="J73" s="56"/>
      <c r="K73" s="56"/>
      <c r="L73" s="56"/>
    </row>
    <row r="74" spans="1:12" x14ac:dyDescent="0.25">
      <c r="A74" s="54"/>
      <c r="B74" s="56"/>
      <c r="C74" s="56"/>
      <c r="D74" s="56"/>
      <c r="E74" s="56"/>
      <c r="F74" s="56"/>
      <c r="G74" s="62" t="str">
        <f>IF(C74="","",(VLOOKUP(C74,'Reference List'!$B$3:$D$173,2,FALSE)))</f>
        <v/>
      </c>
      <c r="H74" s="115"/>
      <c r="I74" s="56"/>
      <c r="J74" s="56"/>
      <c r="K74" s="56"/>
      <c r="L74" s="56"/>
    </row>
    <row r="75" spans="1:12" x14ac:dyDescent="0.25">
      <c r="A75" s="54"/>
      <c r="B75" s="56"/>
      <c r="C75" s="56"/>
      <c r="D75" s="56"/>
      <c r="E75" s="56"/>
      <c r="F75" s="56"/>
      <c r="G75" s="62" t="str">
        <f>IF(C75="","",(VLOOKUP(C75,'Reference List'!$B$3:$D$173,2,FALSE)))</f>
        <v/>
      </c>
      <c r="H75" s="115"/>
      <c r="I75" s="56"/>
      <c r="J75" s="56"/>
      <c r="K75" s="56"/>
      <c r="L75" s="56"/>
    </row>
    <row r="76" spans="1:12" x14ac:dyDescent="0.25">
      <c r="A76" s="54"/>
      <c r="B76" s="56"/>
      <c r="C76" s="56"/>
      <c r="D76" s="56"/>
      <c r="E76" s="56"/>
      <c r="F76" s="56"/>
      <c r="G76" s="56"/>
      <c r="H76" s="115"/>
      <c r="I76" s="56"/>
      <c r="J76" s="56"/>
      <c r="K76" s="56"/>
      <c r="L76" s="56"/>
    </row>
    <row r="77" spans="1:12" x14ac:dyDescent="0.25">
      <c r="A77" s="54"/>
      <c r="B77" s="56"/>
      <c r="C77" s="56"/>
      <c r="D77" s="56"/>
      <c r="E77" s="56"/>
      <c r="F77" s="56"/>
      <c r="G77" s="56"/>
      <c r="H77" s="115"/>
      <c r="I77" s="56"/>
      <c r="J77" s="56"/>
      <c r="K77" s="56"/>
      <c r="L77" s="56"/>
    </row>
    <row r="78" spans="1:12" x14ac:dyDescent="0.25">
      <c r="A78" s="54"/>
      <c r="B78" s="56"/>
      <c r="C78" s="56"/>
      <c r="D78" s="56"/>
      <c r="E78" s="56"/>
      <c r="F78" s="56"/>
      <c r="G78" s="56"/>
      <c r="H78" s="115"/>
      <c r="I78" s="56"/>
      <c r="J78" s="56"/>
      <c r="K78" s="56"/>
      <c r="L78" s="56"/>
    </row>
    <row r="79" spans="1:12" x14ac:dyDescent="0.25">
      <c r="A79" s="54"/>
      <c r="B79" s="56"/>
      <c r="C79" s="56"/>
      <c r="D79" s="56"/>
      <c r="E79" s="56"/>
      <c r="F79" s="56"/>
      <c r="G79" s="56"/>
      <c r="H79" s="115"/>
      <c r="I79" s="56"/>
      <c r="J79" s="56"/>
      <c r="K79" s="56"/>
      <c r="L79" s="56"/>
    </row>
    <row r="80" spans="1:12" x14ac:dyDescent="0.25">
      <c r="A80" s="54"/>
      <c r="B80" s="56"/>
      <c r="C80" s="56"/>
      <c r="D80" s="56"/>
      <c r="E80" s="56"/>
      <c r="F80" s="56"/>
      <c r="G80" s="56"/>
      <c r="H80" s="115"/>
      <c r="I80" s="56"/>
      <c r="J80" s="56"/>
      <c r="K80" s="56"/>
      <c r="L80" s="56"/>
    </row>
    <row r="81" spans="1:12" x14ac:dyDescent="0.25">
      <c r="A81" s="54"/>
      <c r="B81" s="56"/>
      <c r="C81" s="56"/>
      <c r="D81" s="56"/>
      <c r="E81" s="56"/>
      <c r="F81" s="56"/>
      <c r="G81" s="56"/>
      <c r="H81" s="115"/>
      <c r="I81" s="56"/>
      <c r="J81" s="56"/>
      <c r="K81" s="56"/>
      <c r="L81" s="56"/>
    </row>
    <row r="82" spans="1:12" x14ac:dyDescent="0.25">
      <c r="A82" s="54"/>
      <c r="B82" s="56"/>
      <c r="C82" s="56"/>
      <c r="D82" s="56"/>
      <c r="E82" s="56"/>
      <c r="F82" s="56"/>
      <c r="G82" s="56"/>
      <c r="H82" s="115"/>
      <c r="I82" s="56"/>
      <c r="J82" s="56"/>
      <c r="K82" s="56"/>
      <c r="L82" s="56"/>
    </row>
    <row r="83" spans="1:12" x14ac:dyDescent="0.25">
      <c r="A83" s="54"/>
      <c r="B83" s="56"/>
      <c r="C83" s="56"/>
      <c r="D83" s="56"/>
      <c r="E83" s="56"/>
      <c r="F83" s="56"/>
      <c r="G83" s="56"/>
      <c r="H83" s="115"/>
      <c r="I83" s="56"/>
      <c r="J83" s="56"/>
      <c r="K83" s="56"/>
      <c r="L83" s="56"/>
    </row>
    <row r="84" spans="1:12" x14ac:dyDescent="0.25">
      <c r="A84" s="54"/>
      <c r="B84" s="56"/>
      <c r="C84" s="56"/>
      <c r="D84" s="56"/>
      <c r="E84" s="56"/>
      <c r="F84" s="56"/>
      <c r="G84" s="56"/>
      <c r="H84" s="115"/>
      <c r="I84" s="56"/>
      <c r="J84" s="56"/>
      <c r="K84" s="56"/>
      <c r="L84" s="56"/>
    </row>
    <row r="85" spans="1:12" x14ac:dyDescent="0.25">
      <c r="A85" s="54"/>
      <c r="B85" s="56"/>
      <c r="C85" s="56"/>
      <c r="D85" s="56"/>
      <c r="E85" s="56"/>
      <c r="F85" s="56"/>
      <c r="G85" s="56"/>
      <c r="H85" s="115"/>
      <c r="I85" s="56"/>
      <c r="J85" s="56"/>
      <c r="K85" s="56"/>
      <c r="L85" s="56"/>
    </row>
    <row r="86" spans="1:12" x14ac:dyDescent="0.25">
      <c r="A86" s="54"/>
      <c r="B86" s="56"/>
      <c r="C86" s="56"/>
      <c r="D86" s="56"/>
      <c r="E86" s="56"/>
      <c r="F86" s="56"/>
      <c r="G86" s="56"/>
      <c r="H86" s="115"/>
      <c r="I86" s="56"/>
      <c r="J86" s="56"/>
      <c r="K86" s="56"/>
      <c r="L86" s="56"/>
    </row>
    <row r="87" spans="1:12" x14ac:dyDescent="0.25">
      <c r="A87" s="54"/>
      <c r="B87" s="56"/>
      <c r="C87" s="56"/>
      <c r="D87" s="56"/>
      <c r="E87" s="56"/>
      <c r="F87" s="56"/>
      <c r="G87" s="56"/>
      <c r="H87" s="115"/>
      <c r="I87" s="56"/>
      <c r="J87" s="56"/>
      <c r="K87" s="56"/>
      <c r="L87" s="56"/>
    </row>
    <row r="88" spans="1:12" x14ac:dyDescent="0.25">
      <c r="A88" s="54"/>
      <c r="B88" s="56"/>
      <c r="C88" s="56"/>
      <c r="D88" s="56"/>
      <c r="E88" s="56"/>
      <c r="F88" s="56"/>
      <c r="G88" s="56"/>
      <c r="H88" s="115"/>
      <c r="I88" s="56"/>
      <c r="J88" s="56"/>
      <c r="K88" s="56"/>
      <c r="L88" s="56"/>
    </row>
    <row r="89" spans="1:12" x14ac:dyDescent="0.25">
      <c r="A89" s="54"/>
      <c r="B89" s="56"/>
      <c r="C89" s="56"/>
      <c r="D89" s="56"/>
      <c r="E89" s="56"/>
      <c r="F89" s="56"/>
      <c r="G89" s="56"/>
      <c r="H89" s="115"/>
      <c r="I89" s="56"/>
      <c r="J89" s="56"/>
      <c r="K89" s="56"/>
      <c r="L89" s="56"/>
    </row>
    <row r="90" spans="1:12" x14ac:dyDescent="0.25">
      <c r="A90" s="54"/>
      <c r="B90" s="56"/>
      <c r="C90" s="56"/>
      <c r="D90" s="56"/>
      <c r="E90" s="56"/>
      <c r="F90" s="56"/>
      <c r="G90" s="56"/>
      <c r="H90" s="115"/>
      <c r="I90" s="56"/>
      <c r="J90" s="56"/>
      <c r="K90" s="56"/>
      <c r="L90" s="56"/>
    </row>
    <row r="91" spans="1:12" x14ac:dyDescent="0.25">
      <c r="A91" s="54"/>
      <c r="B91" s="56"/>
      <c r="C91" s="56"/>
      <c r="D91" s="56"/>
      <c r="E91" s="56"/>
      <c r="F91" s="56"/>
      <c r="G91" s="56"/>
      <c r="H91" s="115"/>
      <c r="I91" s="56"/>
      <c r="J91" s="56"/>
      <c r="K91" s="56"/>
      <c r="L91" s="56"/>
    </row>
    <row r="92" spans="1:12" x14ac:dyDescent="0.25">
      <c r="A92" s="54"/>
      <c r="B92" s="56"/>
      <c r="C92" s="56"/>
      <c r="D92" s="56"/>
      <c r="E92" s="56"/>
      <c r="F92" s="56"/>
      <c r="G92" s="56"/>
      <c r="H92" s="115"/>
      <c r="I92" s="56"/>
      <c r="J92" s="56"/>
      <c r="K92" s="56"/>
      <c r="L92" s="56"/>
    </row>
    <row r="93" spans="1:12" x14ac:dyDescent="0.25">
      <c r="A93" s="54"/>
      <c r="B93" s="56"/>
      <c r="C93" s="56"/>
      <c r="D93" s="56"/>
      <c r="E93" s="56"/>
      <c r="F93" s="56"/>
      <c r="G93" s="56"/>
      <c r="H93" s="115"/>
      <c r="I93" s="56"/>
      <c r="J93" s="56"/>
      <c r="K93" s="56"/>
      <c r="L93" s="56"/>
    </row>
    <row r="94" spans="1:12" x14ac:dyDescent="0.25">
      <c r="A94" s="54"/>
      <c r="B94" s="56"/>
      <c r="C94" s="56"/>
      <c r="D94" s="56"/>
      <c r="E94" s="56"/>
      <c r="F94" s="56"/>
      <c r="G94" s="56"/>
      <c r="H94" s="115"/>
      <c r="I94" s="56"/>
      <c r="J94" s="56"/>
      <c r="K94" s="56"/>
      <c r="L94" s="56"/>
    </row>
    <row r="95" spans="1:12" x14ac:dyDescent="0.25">
      <c r="A95" s="54"/>
      <c r="B95" s="56"/>
      <c r="C95" s="56"/>
      <c r="D95" s="56"/>
      <c r="E95" s="56"/>
      <c r="F95" s="56"/>
      <c r="G95" s="56"/>
      <c r="H95" s="115"/>
      <c r="I95" s="56"/>
      <c r="J95" s="56"/>
      <c r="K95" s="56"/>
      <c r="L95" s="56"/>
    </row>
    <row r="96" spans="1:12" x14ac:dyDescent="0.25">
      <c r="A96" s="54"/>
      <c r="B96" s="56"/>
      <c r="C96" s="56"/>
      <c r="D96" s="56"/>
      <c r="E96" s="56"/>
      <c r="F96" s="56"/>
      <c r="G96" s="56"/>
      <c r="H96" s="115"/>
      <c r="I96" s="56"/>
      <c r="J96" s="56"/>
      <c r="K96" s="56"/>
      <c r="L96" s="56"/>
    </row>
    <row r="97" spans="1:12" x14ac:dyDescent="0.25">
      <c r="A97" s="54"/>
      <c r="B97" s="56"/>
      <c r="C97" s="56"/>
      <c r="D97" s="56"/>
      <c r="E97" s="56"/>
      <c r="F97" s="56"/>
      <c r="G97" s="56"/>
      <c r="H97" s="115"/>
      <c r="I97" s="56"/>
      <c r="J97" s="56"/>
      <c r="K97" s="56"/>
      <c r="L97" s="56"/>
    </row>
    <row r="98" spans="1:12" x14ac:dyDescent="0.25">
      <c r="A98" s="54"/>
      <c r="B98" s="56"/>
      <c r="C98" s="56"/>
      <c r="D98" s="56"/>
      <c r="E98" s="56"/>
      <c r="F98" s="56"/>
      <c r="G98" s="56"/>
      <c r="H98" s="115"/>
      <c r="I98" s="56"/>
      <c r="J98" s="56"/>
      <c r="K98" s="56"/>
      <c r="L98" s="56"/>
    </row>
    <row r="99" spans="1:12" x14ac:dyDescent="0.25">
      <c r="A99" s="54"/>
      <c r="B99" s="56"/>
      <c r="C99" s="56"/>
      <c r="D99" s="56"/>
      <c r="E99" s="56"/>
      <c r="F99" s="56"/>
      <c r="G99" s="56"/>
      <c r="H99" s="115"/>
      <c r="I99" s="56"/>
      <c r="J99" s="56"/>
      <c r="K99" s="56"/>
      <c r="L99" s="56"/>
    </row>
    <row r="100" spans="1:12" x14ac:dyDescent="0.25">
      <c r="A100" s="54"/>
      <c r="B100" s="56"/>
      <c r="C100" s="56"/>
      <c r="D100" s="56"/>
      <c r="E100" s="56"/>
      <c r="F100" s="56"/>
      <c r="G100" s="56"/>
      <c r="H100" s="115"/>
      <c r="I100" s="56"/>
      <c r="J100" s="56"/>
      <c r="K100" s="56"/>
      <c r="L100" s="56"/>
    </row>
    <row r="101" spans="1:12" x14ac:dyDescent="0.25">
      <c r="A101" s="54"/>
      <c r="B101" s="56"/>
      <c r="C101" s="56"/>
      <c r="D101" s="56"/>
      <c r="E101" s="56"/>
      <c r="F101" s="56"/>
      <c r="G101" s="56"/>
      <c r="H101" s="115"/>
      <c r="I101" s="56"/>
      <c r="J101" s="56"/>
      <c r="K101" s="56"/>
      <c r="L101" s="56"/>
    </row>
    <row r="102" spans="1:12" x14ac:dyDescent="0.25">
      <c r="A102" s="54"/>
      <c r="B102" s="56"/>
      <c r="C102" s="56"/>
      <c r="D102" s="56"/>
      <c r="E102" s="56"/>
      <c r="F102" s="56"/>
      <c r="G102" s="56"/>
      <c r="H102" s="115"/>
      <c r="I102" s="56"/>
      <c r="J102" s="56"/>
      <c r="K102" s="56"/>
      <c r="L102" s="56"/>
    </row>
    <row r="103" spans="1:12" x14ac:dyDescent="0.25">
      <c r="A103" s="54"/>
      <c r="B103" s="56"/>
      <c r="C103" s="56"/>
      <c r="D103" s="56"/>
      <c r="E103" s="56"/>
      <c r="F103" s="56"/>
      <c r="G103" s="56"/>
      <c r="H103" s="115"/>
      <c r="I103" s="56"/>
      <c r="J103" s="56"/>
      <c r="K103" s="56"/>
      <c r="L103" s="56"/>
    </row>
    <row r="104" spans="1:12" x14ac:dyDescent="0.25">
      <c r="A104" s="54"/>
      <c r="B104" s="56"/>
      <c r="C104" s="56"/>
      <c r="D104" s="56"/>
      <c r="E104" s="56"/>
      <c r="F104" s="56"/>
      <c r="G104" s="56"/>
      <c r="H104" s="115"/>
      <c r="I104" s="56"/>
      <c r="J104" s="56"/>
      <c r="K104" s="56"/>
      <c r="L104" s="56"/>
    </row>
    <row r="105" spans="1:12" x14ac:dyDescent="0.25">
      <c r="A105" s="54"/>
      <c r="B105" s="56"/>
      <c r="C105" s="56"/>
      <c r="D105" s="56"/>
      <c r="E105" s="56"/>
      <c r="F105" s="56"/>
      <c r="G105" s="56"/>
      <c r="H105" s="115"/>
      <c r="I105" s="56"/>
      <c r="J105" s="56"/>
      <c r="K105" s="56"/>
      <c r="L105" s="56"/>
    </row>
  </sheetData>
  <mergeCells count="2">
    <mergeCell ref="J2:L2"/>
    <mergeCell ref="F4:G4"/>
  </mergeCells>
  <conditionalFormatting sqref="F43 F8:F17 F19:F23">
    <cfRule type="cellIs" dxfId="22" priority="17" operator="equal">
      <formula>#N/A</formula>
    </cfRule>
  </conditionalFormatting>
  <conditionalFormatting sqref="F3 F24:F25 F6 F27:F43">
    <cfRule type="cellIs" dxfId="21" priority="16" operator="equal">
      <formula>#N/A</formula>
    </cfRule>
  </conditionalFormatting>
  <conditionalFormatting sqref="F44">
    <cfRule type="cellIs" dxfId="20" priority="15" operator="equal">
      <formula>#N/A</formula>
    </cfRule>
  </conditionalFormatting>
  <conditionalFormatting sqref="E1:E2">
    <cfRule type="cellIs" dxfId="19" priority="14" operator="equal">
      <formula>#N/A</formula>
    </cfRule>
  </conditionalFormatting>
  <conditionalFormatting sqref="G6:G75">
    <cfRule type="cellIs" dxfId="18" priority="13" operator="equal">
      <formula>#N/A</formula>
    </cfRule>
  </conditionalFormatting>
  <conditionalFormatting sqref="L6:L23">
    <cfRule type="cellIs" dxfId="17" priority="12" operator="equal">
      <formula>"CH"</formula>
    </cfRule>
  </conditionalFormatting>
  <conditionalFormatting sqref="L24:L60">
    <cfRule type="cellIs" dxfId="16" priority="10" operator="equal">
      <formula>"DRY"</formula>
    </cfRule>
    <cfRule type="cellIs" dxfId="15" priority="11" operator="equal">
      <formula>"CHILLER"</formula>
    </cfRule>
  </conditionalFormatting>
  <conditionalFormatting sqref="L6:L23">
    <cfRule type="cellIs" dxfId="14" priority="9" operator="equal">
      <formula>"DRY"</formula>
    </cfRule>
  </conditionalFormatting>
  <conditionalFormatting sqref="F5">
    <cfRule type="cellIs" dxfId="13" priority="8" operator="equal">
      <formula>#N/A</formula>
    </cfRule>
  </conditionalFormatting>
  <conditionalFormatting sqref="F7">
    <cfRule type="cellIs" dxfId="12" priority="7" operator="equal">
      <formula>#N/A</formula>
    </cfRule>
  </conditionalFormatting>
  <conditionalFormatting sqref="F26">
    <cfRule type="cellIs" dxfId="11" priority="6" operator="equal">
      <formula>#N/A</formula>
    </cfRule>
  </conditionalFormatting>
  <conditionalFormatting sqref="F18">
    <cfRule type="cellIs" dxfId="10" priority="5" operator="equal">
      <formula>#N/A</formula>
    </cfRule>
  </conditionalFormatting>
  <dataValidations count="1">
    <dataValidation type="list" allowBlank="1" showInputMessage="1" showErrorMessage="1" sqref="L6:L58" xr:uid="{00000000-0002-0000-0600-000000000000}">
      <formula1>TEMP</formula1>
    </dataValidation>
  </dataValidations>
  <pageMargins left="0.7" right="0.7" top="0.75" bottom="0.75" header="0.3" footer="0.3"/>
  <pageSetup paperSize="9" scale="78" orientation="landscape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4" operator="equal" id="{DBD7BCDA-3760-4816-89D9-509EA927E03E}">
            <xm:f>'Reference List'!$C$5</xm:f>
            <x14:dxf>
              <font>
                <strike val="0"/>
              </font>
              <fill>
                <patternFill>
                  <bgColor theme="6" tint="0.39994506668294322"/>
                </patternFill>
              </fill>
            </x14:dxf>
          </x14:cfRule>
          <xm:sqref>G6:G105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B3:C8"/>
  <sheetViews>
    <sheetView workbookViewId="0">
      <selection activeCell="C4" sqref="C4"/>
    </sheetView>
  </sheetViews>
  <sheetFormatPr defaultRowHeight="15" x14ac:dyDescent="0.25"/>
  <cols>
    <col min="2" max="2" width="19.7109375" customWidth="1"/>
  </cols>
  <sheetData>
    <row r="3" spans="2:3" ht="15.75" thickBot="1" x14ac:dyDescent="0.3"/>
    <row r="4" spans="2:3" x14ac:dyDescent="0.25">
      <c r="B4" s="167" t="s">
        <v>524</v>
      </c>
      <c r="C4" s="170">
        <f>SUM(Monday!L20,Tuesday!L20,Wednesday!L20,Thursday!L20,Friday!L20)</f>
        <v>0</v>
      </c>
    </row>
    <row r="5" spans="2:3" x14ac:dyDescent="0.25">
      <c r="B5" s="168" t="s">
        <v>525</v>
      </c>
      <c r="C5" s="171">
        <f>SUM(Monday!K106,Tuesday!K106,Wednesday!K106,Thursday!K106,Friday!K106)</f>
        <v>0</v>
      </c>
    </row>
    <row r="6" spans="2:3" x14ac:dyDescent="0.25">
      <c r="B6" s="168" t="s">
        <v>527</v>
      </c>
      <c r="C6" s="171">
        <f>SUM(Monday!L19,Tuesday!L19,Wednesday!L19,Thursday!L19,Friday!L19)</f>
        <v>0</v>
      </c>
    </row>
    <row r="7" spans="2:3" x14ac:dyDescent="0.25">
      <c r="B7" s="168" t="s">
        <v>528</v>
      </c>
      <c r="C7" s="171">
        <f>SUM(Monday!E106,Tuesday!E106,Wednesday!E106,Thursday!E106,Friday!E106)</f>
        <v>0</v>
      </c>
    </row>
    <row r="8" spans="2:3" ht="15.75" thickBot="1" x14ac:dyDescent="0.3">
      <c r="B8" s="169" t="s">
        <v>526</v>
      </c>
      <c r="C8" s="172">
        <f>SUM(C6:C7)</f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4">
    <pageSetUpPr fitToPage="1"/>
  </sheetPr>
  <dimension ref="A1:J169"/>
  <sheetViews>
    <sheetView showGridLines="0" zoomScaleNormal="100" workbookViewId="0">
      <selection activeCell="C7" sqref="C7"/>
    </sheetView>
  </sheetViews>
  <sheetFormatPr defaultColWidth="9.140625" defaultRowHeight="14.25" x14ac:dyDescent="0.2"/>
  <cols>
    <col min="1" max="1" width="6.28515625" style="24" customWidth="1"/>
    <col min="2" max="2" width="49.5703125" style="24" customWidth="1"/>
    <col min="3" max="3" width="58.28515625" style="24" customWidth="1"/>
    <col min="4" max="4" width="16.42578125" style="24" customWidth="1"/>
    <col min="5" max="5" width="42.28515625" style="24" customWidth="1"/>
    <col min="6" max="6" width="22.85546875" style="24" customWidth="1"/>
    <col min="7" max="9" width="9.140625" style="24"/>
    <col min="10" max="10" width="12.85546875" style="24" customWidth="1"/>
    <col min="11" max="16384" width="9.140625" style="24"/>
  </cols>
  <sheetData>
    <row r="1" spans="2:10" ht="15" thickBot="1" x14ac:dyDescent="0.25"/>
    <row r="2" spans="2:10" ht="90" customHeight="1" thickBot="1" x14ac:dyDescent="0.25">
      <c r="B2" s="257" t="s">
        <v>9</v>
      </c>
      <c r="C2" s="258"/>
      <c r="D2" s="259"/>
      <c r="E2" s="257"/>
      <c r="F2" s="258"/>
    </row>
    <row r="3" spans="2:10" ht="21.75" customHeight="1" thickBot="1" x14ac:dyDescent="0.3">
      <c r="B3" s="48" t="s">
        <v>457</v>
      </c>
      <c r="C3" s="48" t="s">
        <v>458</v>
      </c>
      <c r="D3" s="48" t="s">
        <v>17</v>
      </c>
      <c r="E3" s="48" t="s">
        <v>18</v>
      </c>
      <c r="F3" s="48" t="s">
        <v>24</v>
      </c>
      <c r="J3" s="130"/>
    </row>
    <row r="4" spans="2:10" ht="15" x14ac:dyDescent="0.25">
      <c r="B4" s="140">
        <v>3200540</v>
      </c>
      <c r="C4" s="118" t="s">
        <v>460</v>
      </c>
      <c r="D4" s="118"/>
      <c r="E4" s="118"/>
      <c r="F4" s="120">
        <v>0.58333333333333337</v>
      </c>
      <c r="J4" s="131"/>
    </row>
    <row r="5" spans="2:10" ht="15" x14ac:dyDescent="0.25">
      <c r="B5" s="62">
        <v>3200541</v>
      </c>
      <c r="C5" s="49" t="s">
        <v>469</v>
      </c>
      <c r="D5" s="49"/>
      <c r="E5" s="118"/>
      <c r="F5" s="119"/>
      <c r="J5" s="131"/>
    </row>
    <row r="6" spans="2:10" ht="15" x14ac:dyDescent="0.25">
      <c r="B6" s="53">
        <v>3200543</v>
      </c>
      <c r="C6" s="49" t="s">
        <v>459</v>
      </c>
      <c r="D6" s="49"/>
      <c r="E6" s="118"/>
      <c r="F6" s="119" t="s">
        <v>516</v>
      </c>
      <c r="J6" s="131"/>
    </row>
    <row r="7" spans="2:10" ht="15" x14ac:dyDescent="0.25">
      <c r="B7" s="53"/>
      <c r="C7" s="49"/>
      <c r="D7" s="49"/>
      <c r="E7" s="118"/>
      <c r="F7" s="119"/>
      <c r="J7" s="131"/>
    </row>
    <row r="8" spans="2:10" ht="15" x14ac:dyDescent="0.25">
      <c r="B8" s="53"/>
      <c r="C8" s="49"/>
      <c r="D8" s="49"/>
      <c r="E8" s="118"/>
      <c r="F8" s="119"/>
    </row>
    <row r="9" spans="2:10" ht="15" x14ac:dyDescent="0.25">
      <c r="B9" s="53"/>
      <c r="C9" s="118"/>
      <c r="D9" s="118"/>
      <c r="E9" s="118"/>
      <c r="F9" s="119"/>
    </row>
    <row r="10" spans="2:10" ht="15" x14ac:dyDescent="0.25">
      <c r="B10" s="53"/>
      <c r="C10" s="118"/>
      <c r="D10" s="118"/>
      <c r="E10" s="118"/>
      <c r="F10" s="120"/>
      <c r="J10" s="81"/>
    </row>
    <row r="11" spans="2:10" ht="15" x14ac:dyDescent="0.25">
      <c r="B11" s="141"/>
      <c r="C11" s="118"/>
      <c r="D11" s="118"/>
      <c r="E11" s="118"/>
      <c r="F11" s="119"/>
      <c r="J11" s="117" t="s">
        <v>447</v>
      </c>
    </row>
    <row r="12" spans="2:10" ht="15" x14ac:dyDescent="0.25">
      <c r="B12" s="136"/>
      <c r="C12" s="49"/>
      <c r="D12" s="49"/>
      <c r="E12" s="49"/>
      <c r="F12" s="119"/>
      <c r="J12" s="117" t="s">
        <v>448</v>
      </c>
    </row>
    <row r="13" spans="2:10" ht="15" x14ac:dyDescent="0.25">
      <c r="B13" s="49"/>
      <c r="C13" s="49"/>
      <c r="D13" s="49"/>
      <c r="E13" s="49"/>
      <c r="F13" s="120"/>
      <c r="J13" s="117" t="s">
        <v>449</v>
      </c>
    </row>
    <row r="14" spans="2:10" ht="15" x14ac:dyDescent="0.25">
      <c r="B14" s="49"/>
      <c r="C14" s="49"/>
      <c r="D14" s="49"/>
      <c r="E14" s="49"/>
      <c r="F14" s="121"/>
      <c r="J14" s="117" t="s">
        <v>450</v>
      </c>
    </row>
    <row r="15" spans="2:10" ht="15" x14ac:dyDescent="0.25">
      <c r="B15" s="49"/>
      <c r="C15" s="49"/>
      <c r="D15" s="49"/>
      <c r="E15" s="49"/>
      <c r="F15" s="120"/>
      <c r="J15" s="117" t="s">
        <v>451</v>
      </c>
    </row>
    <row r="16" spans="2:10" ht="15" x14ac:dyDescent="0.25">
      <c r="B16" s="136"/>
      <c r="C16" s="49"/>
      <c r="D16" s="49"/>
      <c r="E16" s="49"/>
      <c r="F16" s="120"/>
      <c r="J16" s="117"/>
    </row>
    <row r="17" spans="2:10" ht="15" x14ac:dyDescent="0.25">
      <c r="B17" s="132"/>
      <c r="C17" s="49"/>
      <c r="D17" s="49"/>
      <c r="E17" s="49"/>
      <c r="F17" s="119"/>
      <c r="J17" s="117"/>
    </row>
    <row r="18" spans="2:10" ht="15" x14ac:dyDescent="0.25">
      <c r="B18" s="133"/>
      <c r="C18" s="49"/>
      <c r="D18" s="49"/>
      <c r="E18" s="49"/>
      <c r="F18" s="119"/>
      <c r="J18" s="117"/>
    </row>
    <row r="19" spans="2:10" ht="15" x14ac:dyDescent="0.25">
      <c r="B19" s="49"/>
      <c r="C19" s="49"/>
      <c r="D19" s="49"/>
      <c r="E19" s="49"/>
      <c r="F19" s="120"/>
      <c r="J19" s="117"/>
    </row>
    <row r="20" spans="2:10" ht="15" x14ac:dyDescent="0.25">
      <c r="B20" s="49"/>
      <c r="C20" s="49"/>
      <c r="D20" s="49"/>
      <c r="E20" s="49"/>
      <c r="F20" s="120"/>
      <c r="J20" s="26"/>
    </row>
    <row r="21" spans="2:10" ht="15" x14ac:dyDescent="0.25">
      <c r="B21" s="49"/>
      <c r="C21" s="49"/>
      <c r="D21" s="49"/>
      <c r="E21" s="49"/>
      <c r="F21" s="119"/>
      <c r="J21" s="26"/>
    </row>
    <row r="22" spans="2:10" ht="15" x14ac:dyDescent="0.25">
      <c r="B22" s="49"/>
      <c r="C22" s="49"/>
      <c r="D22" s="49"/>
      <c r="E22" s="49"/>
      <c r="F22" s="119"/>
    </row>
    <row r="23" spans="2:10" ht="15" x14ac:dyDescent="0.25">
      <c r="B23" s="49"/>
      <c r="C23" s="49"/>
      <c r="D23" s="49"/>
      <c r="E23" s="49"/>
      <c r="F23" s="119"/>
    </row>
    <row r="24" spans="2:10" ht="15" x14ac:dyDescent="0.25">
      <c r="B24" s="49"/>
      <c r="C24" s="49"/>
      <c r="D24" s="49"/>
      <c r="E24" s="49"/>
      <c r="F24" s="119"/>
    </row>
    <row r="25" spans="2:10" ht="15" x14ac:dyDescent="0.25">
      <c r="B25" s="49"/>
      <c r="C25" s="49"/>
      <c r="D25" s="49"/>
      <c r="E25" s="49"/>
      <c r="F25" s="119"/>
    </row>
    <row r="26" spans="2:10" ht="15" x14ac:dyDescent="0.25">
      <c r="B26" s="135"/>
      <c r="C26" s="49"/>
      <c r="D26" s="49"/>
      <c r="E26" s="49"/>
      <c r="F26" s="119"/>
    </row>
    <row r="27" spans="2:10" ht="15" x14ac:dyDescent="0.25">
      <c r="B27" s="135"/>
      <c r="C27" s="49"/>
      <c r="D27" s="49"/>
      <c r="E27" s="49"/>
      <c r="F27" s="119"/>
    </row>
    <row r="28" spans="2:10" ht="15" x14ac:dyDescent="0.25">
      <c r="B28" s="53"/>
      <c r="C28" s="49"/>
      <c r="D28" s="49"/>
      <c r="E28" s="49"/>
      <c r="F28" s="119"/>
    </row>
    <row r="29" spans="2:10" ht="15" x14ac:dyDescent="0.25">
      <c r="B29" s="135"/>
      <c r="C29" s="49"/>
      <c r="D29" s="49"/>
      <c r="E29" s="49"/>
      <c r="F29" s="119"/>
    </row>
    <row r="30" spans="2:10" ht="15" x14ac:dyDescent="0.25">
      <c r="B30" s="135"/>
      <c r="C30" s="49"/>
      <c r="D30" s="49"/>
      <c r="E30" s="49"/>
      <c r="F30" s="119"/>
    </row>
    <row r="31" spans="2:10" ht="15" x14ac:dyDescent="0.25">
      <c r="B31" s="135"/>
      <c r="C31" s="49"/>
      <c r="D31" s="49"/>
      <c r="E31" s="49"/>
      <c r="F31" s="119"/>
    </row>
    <row r="32" spans="2:10" ht="15" x14ac:dyDescent="0.25">
      <c r="B32" s="135"/>
      <c r="C32" s="49"/>
      <c r="D32" s="49"/>
      <c r="E32" s="49"/>
      <c r="F32" s="119"/>
    </row>
    <row r="33" spans="2:6" ht="15" x14ac:dyDescent="0.25">
      <c r="B33" s="135"/>
      <c r="C33" s="49"/>
      <c r="D33" s="49"/>
      <c r="E33" s="49"/>
      <c r="F33" s="121"/>
    </row>
    <row r="34" spans="2:6" ht="15" x14ac:dyDescent="0.25">
      <c r="B34" s="49"/>
      <c r="C34" s="49"/>
      <c r="D34" s="49"/>
      <c r="E34" s="49"/>
      <c r="F34" s="137"/>
    </row>
    <row r="35" spans="2:6" ht="15" x14ac:dyDescent="0.25">
      <c r="B35" s="49"/>
      <c r="C35" s="49"/>
      <c r="D35" s="49"/>
      <c r="E35" s="49"/>
      <c r="F35" s="119"/>
    </row>
    <row r="36" spans="2:6" ht="15" x14ac:dyDescent="0.25">
      <c r="B36" s="133"/>
      <c r="C36" s="49"/>
      <c r="D36" s="49"/>
      <c r="E36" s="49"/>
      <c r="F36" s="120"/>
    </row>
    <row r="37" spans="2:6" ht="15" x14ac:dyDescent="0.25">
      <c r="B37" s="49"/>
      <c r="C37" s="49"/>
      <c r="D37" s="49"/>
      <c r="E37" s="49"/>
      <c r="F37" s="119"/>
    </row>
    <row r="38" spans="2:6" ht="15" x14ac:dyDescent="0.25">
      <c r="B38" s="135"/>
      <c r="C38" s="49"/>
      <c r="D38" s="49"/>
      <c r="E38" s="49"/>
      <c r="F38" s="119"/>
    </row>
    <row r="39" spans="2:6" ht="15" x14ac:dyDescent="0.25">
      <c r="B39" s="53"/>
      <c r="C39" s="49"/>
      <c r="D39" s="49"/>
      <c r="E39" s="49"/>
      <c r="F39" s="119"/>
    </row>
    <row r="40" spans="2:6" ht="15" x14ac:dyDescent="0.25">
      <c r="B40" s="135"/>
      <c r="C40" s="49"/>
      <c r="D40" s="49"/>
      <c r="E40" s="49"/>
      <c r="F40" s="119"/>
    </row>
    <row r="41" spans="2:6" ht="15" x14ac:dyDescent="0.25">
      <c r="B41" s="135"/>
      <c r="C41" s="49"/>
      <c r="D41" s="49"/>
      <c r="E41" s="49"/>
      <c r="F41" s="120"/>
    </row>
    <row r="42" spans="2:6" ht="15" x14ac:dyDescent="0.25">
      <c r="B42" s="49"/>
      <c r="C42" s="49"/>
      <c r="D42" s="49"/>
      <c r="E42" s="49"/>
      <c r="F42" s="119"/>
    </row>
    <row r="43" spans="2:6" ht="15" x14ac:dyDescent="0.25">
      <c r="B43" s="134"/>
      <c r="C43" s="49"/>
      <c r="D43" s="49"/>
      <c r="E43" s="49"/>
      <c r="F43" s="119"/>
    </row>
    <row r="44" spans="2:6" ht="15" x14ac:dyDescent="0.25">
      <c r="B44" s="133"/>
      <c r="C44" s="49"/>
      <c r="D44" s="49"/>
      <c r="E44" s="49"/>
      <c r="F44" s="119"/>
    </row>
    <row r="45" spans="2:6" ht="15" x14ac:dyDescent="0.25">
      <c r="B45" s="49"/>
      <c r="C45" s="49"/>
      <c r="D45" s="49"/>
      <c r="E45" s="49"/>
      <c r="F45" s="119"/>
    </row>
    <row r="46" spans="2:6" ht="15" x14ac:dyDescent="0.25">
      <c r="B46" s="49"/>
      <c r="C46" s="118"/>
      <c r="D46" s="49"/>
      <c r="E46" s="49"/>
      <c r="F46" s="119"/>
    </row>
    <row r="47" spans="2:6" ht="15" x14ac:dyDescent="0.25">
      <c r="B47" s="134"/>
      <c r="C47" s="49"/>
      <c r="D47" s="49"/>
      <c r="E47" s="49"/>
      <c r="F47" s="120"/>
    </row>
    <row r="48" spans="2:6" ht="15" x14ac:dyDescent="0.25">
      <c r="B48" s="49"/>
      <c r="C48" s="49"/>
      <c r="D48" s="49"/>
      <c r="E48" s="49"/>
      <c r="F48" s="119"/>
    </row>
    <row r="49" spans="2:6" ht="15" x14ac:dyDescent="0.25">
      <c r="B49" s="49"/>
      <c r="C49" s="49"/>
      <c r="D49" s="49"/>
      <c r="E49" s="49"/>
      <c r="F49" s="119"/>
    </row>
    <row r="50" spans="2:6" ht="15" x14ac:dyDescent="0.25">
      <c r="B50" s="49"/>
      <c r="C50" s="49"/>
      <c r="D50" s="49"/>
      <c r="E50" s="49"/>
      <c r="F50" s="119"/>
    </row>
    <row r="51" spans="2:6" ht="15" x14ac:dyDescent="0.25">
      <c r="B51" s="49"/>
      <c r="C51" s="49"/>
      <c r="D51" s="49"/>
      <c r="E51" s="49"/>
      <c r="F51" s="119"/>
    </row>
    <row r="52" spans="2:6" ht="15" x14ac:dyDescent="0.25">
      <c r="B52" s="134"/>
      <c r="C52" s="49"/>
      <c r="D52" s="49"/>
      <c r="E52" s="49"/>
      <c r="F52" s="119"/>
    </row>
    <row r="53" spans="2:6" ht="15" x14ac:dyDescent="0.25">
      <c r="B53" s="49"/>
      <c r="C53" s="49"/>
      <c r="D53" s="49"/>
      <c r="E53" s="49"/>
      <c r="F53" s="119"/>
    </row>
    <row r="54" spans="2:6" ht="13.5" customHeight="1" x14ac:dyDescent="0.25">
      <c r="B54" s="49"/>
      <c r="C54" s="49"/>
      <c r="D54" s="49"/>
      <c r="E54" s="49"/>
      <c r="F54" s="119"/>
    </row>
    <row r="55" spans="2:6" ht="13.5" customHeight="1" x14ac:dyDescent="0.25">
      <c r="B55" s="49"/>
      <c r="C55" s="49"/>
      <c r="D55" s="49"/>
      <c r="E55" s="49"/>
      <c r="F55" s="119"/>
    </row>
    <row r="56" spans="2:6" ht="15" x14ac:dyDescent="0.25">
      <c r="B56" s="49"/>
      <c r="C56" s="49"/>
      <c r="D56" s="49"/>
      <c r="E56" s="49"/>
      <c r="F56" s="119"/>
    </row>
    <row r="57" spans="2:6" ht="15" x14ac:dyDescent="0.25">
      <c r="B57" s="49"/>
      <c r="C57" s="49"/>
      <c r="D57" s="49"/>
      <c r="E57" s="49"/>
      <c r="F57" s="119"/>
    </row>
    <row r="58" spans="2:6" ht="15" x14ac:dyDescent="0.25">
      <c r="B58" s="49"/>
      <c r="C58" s="49"/>
      <c r="D58" s="49"/>
      <c r="E58" s="49"/>
      <c r="F58" s="119"/>
    </row>
    <row r="59" spans="2:6" ht="15" x14ac:dyDescent="0.25">
      <c r="B59" s="49"/>
      <c r="C59" s="49"/>
      <c r="D59" s="49"/>
      <c r="E59" s="49"/>
      <c r="F59" s="119"/>
    </row>
    <row r="60" spans="2:6" ht="15" x14ac:dyDescent="0.25">
      <c r="B60" s="49"/>
      <c r="C60" s="49"/>
      <c r="D60" s="49"/>
      <c r="E60" s="49"/>
      <c r="F60" s="119"/>
    </row>
    <row r="61" spans="2:6" ht="15" x14ac:dyDescent="0.25">
      <c r="B61" s="49"/>
      <c r="C61" s="49"/>
      <c r="D61" s="49"/>
      <c r="E61" s="49"/>
      <c r="F61" s="119"/>
    </row>
    <row r="62" spans="2:6" ht="15" x14ac:dyDescent="0.25">
      <c r="B62" s="132"/>
      <c r="C62" s="49"/>
      <c r="D62" s="49"/>
      <c r="E62" s="49"/>
      <c r="F62" s="119"/>
    </row>
    <row r="63" spans="2:6" ht="15" x14ac:dyDescent="0.25">
      <c r="B63" s="49"/>
      <c r="C63" s="49"/>
      <c r="D63" s="49"/>
      <c r="E63" s="49"/>
      <c r="F63" s="119"/>
    </row>
    <row r="64" spans="2:6" ht="15.75" thickBot="1" x14ac:dyDescent="0.3">
      <c r="B64" s="122"/>
      <c r="C64" s="122"/>
      <c r="D64" s="122"/>
      <c r="E64" s="122"/>
      <c r="F64" s="119"/>
    </row>
    <row r="65" spans="2:6" ht="15" x14ac:dyDescent="0.25">
      <c r="B65" s="123"/>
      <c r="C65" s="123"/>
      <c r="D65" s="123"/>
      <c r="E65" s="123"/>
      <c r="F65" s="124"/>
    </row>
    <row r="66" spans="2:6" ht="15.75" thickBot="1" x14ac:dyDescent="0.3">
      <c r="B66" s="49"/>
      <c r="C66" s="49"/>
      <c r="D66" s="49"/>
      <c r="E66" s="49"/>
      <c r="F66" s="121"/>
    </row>
    <row r="67" spans="2:6" ht="15" x14ac:dyDescent="0.25">
      <c r="B67" s="49"/>
      <c r="C67" s="49"/>
      <c r="D67" s="49"/>
      <c r="E67" s="49"/>
      <c r="F67" s="124"/>
    </row>
    <row r="68" spans="2:6" ht="15" x14ac:dyDescent="0.25">
      <c r="B68" s="49"/>
      <c r="C68" s="49"/>
      <c r="D68" s="49"/>
      <c r="E68" s="49"/>
      <c r="F68" s="120"/>
    </row>
    <row r="69" spans="2:6" ht="15" x14ac:dyDescent="0.25">
      <c r="B69" s="49"/>
      <c r="C69" s="49"/>
      <c r="D69" s="49"/>
      <c r="E69" s="49"/>
      <c r="F69" s="137"/>
    </row>
    <row r="70" spans="2:6" ht="15" x14ac:dyDescent="0.25">
      <c r="B70" s="49"/>
      <c r="C70" s="49"/>
      <c r="D70" s="49"/>
      <c r="E70" s="49"/>
      <c r="F70" s="121"/>
    </row>
    <row r="71" spans="2:6" ht="15" x14ac:dyDescent="0.25">
      <c r="B71" s="49"/>
      <c r="C71" s="49"/>
      <c r="D71" s="49"/>
      <c r="E71" s="49"/>
      <c r="F71" s="121"/>
    </row>
    <row r="72" spans="2:6" ht="15" x14ac:dyDescent="0.25">
      <c r="B72" s="49"/>
      <c r="C72" s="49"/>
      <c r="D72" s="49"/>
      <c r="E72" s="49"/>
      <c r="F72" s="121"/>
    </row>
    <row r="73" spans="2:6" ht="15" x14ac:dyDescent="0.25">
      <c r="B73" s="49"/>
      <c r="C73" s="49"/>
      <c r="D73" s="49"/>
      <c r="E73" s="49"/>
      <c r="F73" s="121"/>
    </row>
    <row r="74" spans="2:6" ht="15" x14ac:dyDescent="0.25">
      <c r="B74" s="49"/>
      <c r="C74" s="49"/>
      <c r="D74" s="49"/>
      <c r="E74" s="49"/>
      <c r="F74" s="121"/>
    </row>
    <row r="75" spans="2:6" ht="15" x14ac:dyDescent="0.25">
      <c r="B75" s="49"/>
      <c r="C75" s="49"/>
      <c r="D75" s="49"/>
      <c r="E75" s="49"/>
      <c r="F75" s="121"/>
    </row>
    <row r="76" spans="2:6" ht="15" x14ac:dyDescent="0.25">
      <c r="B76" s="49"/>
      <c r="C76" s="49"/>
      <c r="D76" s="49"/>
      <c r="E76" s="49"/>
      <c r="F76" s="121"/>
    </row>
    <row r="77" spans="2:6" ht="15" x14ac:dyDescent="0.25">
      <c r="B77" s="49"/>
      <c r="C77" s="49"/>
      <c r="D77" s="49"/>
      <c r="E77" s="49"/>
      <c r="F77" s="121"/>
    </row>
    <row r="78" spans="2:6" ht="15" x14ac:dyDescent="0.25">
      <c r="B78" s="49"/>
      <c r="C78" s="49"/>
      <c r="D78" s="49"/>
      <c r="E78" s="49"/>
      <c r="F78" s="121"/>
    </row>
    <row r="79" spans="2:6" ht="15" x14ac:dyDescent="0.25">
      <c r="B79" s="49"/>
      <c r="C79" s="49"/>
      <c r="D79" s="49"/>
      <c r="E79" s="49"/>
      <c r="F79" s="121"/>
    </row>
    <row r="80" spans="2:6" ht="15" x14ac:dyDescent="0.25">
      <c r="B80" s="49"/>
      <c r="C80" s="49"/>
      <c r="D80" s="49"/>
      <c r="E80" s="49"/>
      <c r="F80" s="121"/>
    </row>
    <row r="81" spans="2:6" ht="15" x14ac:dyDescent="0.25">
      <c r="B81" s="49"/>
      <c r="C81" s="49"/>
      <c r="D81" s="49"/>
      <c r="E81" s="49"/>
      <c r="F81" s="121"/>
    </row>
    <row r="82" spans="2:6" ht="15" x14ac:dyDescent="0.25">
      <c r="B82" s="49"/>
      <c r="C82" s="49"/>
      <c r="D82" s="49"/>
      <c r="E82" s="49"/>
      <c r="F82" s="121"/>
    </row>
    <row r="83" spans="2:6" ht="15" x14ac:dyDescent="0.25">
      <c r="B83" s="49"/>
      <c r="C83" s="49"/>
      <c r="D83" s="49"/>
      <c r="E83" s="49"/>
      <c r="F83" s="121"/>
    </row>
    <row r="84" spans="2:6" ht="15" x14ac:dyDescent="0.25">
      <c r="B84" s="49"/>
      <c r="C84" s="49"/>
      <c r="D84" s="49"/>
      <c r="E84" s="49"/>
      <c r="F84" s="121"/>
    </row>
    <row r="85" spans="2:6" ht="15" x14ac:dyDescent="0.25">
      <c r="B85" s="49"/>
      <c r="C85" s="49"/>
      <c r="D85" s="49"/>
      <c r="E85" s="49"/>
      <c r="F85" s="121"/>
    </row>
    <row r="86" spans="2:6" ht="15.75" thickBot="1" x14ac:dyDescent="0.3">
      <c r="B86" s="125"/>
      <c r="C86" s="125"/>
      <c r="D86" s="125"/>
      <c r="E86" s="125"/>
      <c r="F86" s="126"/>
    </row>
    <row r="87" spans="2:6" ht="15" x14ac:dyDescent="0.25">
      <c r="B87" s="118"/>
      <c r="C87" s="118"/>
      <c r="D87" s="118"/>
      <c r="E87" s="118"/>
      <c r="F87" s="119"/>
    </row>
    <row r="88" spans="2:6" ht="15" x14ac:dyDescent="0.25">
      <c r="B88" s="49"/>
      <c r="C88" s="49"/>
      <c r="D88" s="49"/>
      <c r="E88" s="49"/>
      <c r="F88" s="121"/>
    </row>
    <row r="89" spans="2:6" ht="15" x14ac:dyDescent="0.25">
      <c r="B89" s="49"/>
      <c r="C89" s="49"/>
      <c r="D89" s="49"/>
      <c r="E89" s="49"/>
      <c r="F89" s="121"/>
    </row>
    <row r="90" spans="2:6" ht="15" x14ac:dyDescent="0.25">
      <c r="B90" s="49"/>
      <c r="C90" s="49"/>
      <c r="D90" s="49"/>
      <c r="E90" s="49"/>
      <c r="F90" s="121"/>
    </row>
    <row r="91" spans="2:6" ht="15" x14ac:dyDescent="0.25">
      <c r="B91" s="49"/>
      <c r="C91" s="49"/>
      <c r="D91" s="49"/>
      <c r="E91" s="49"/>
      <c r="F91" s="121"/>
    </row>
    <row r="92" spans="2:6" ht="15" x14ac:dyDescent="0.25">
      <c r="B92" s="49"/>
      <c r="C92" s="49"/>
      <c r="D92" s="49"/>
      <c r="E92" s="49"/>
      <c r="F92" s="121"/>
    </row>
    <row r="93" spans="2:6" ht="15" x14ac:dyDescent="0.25">
      <c r="B93" s="49"/>
      <c r="C93" s="49"/>
      <c r="D93" s="49"/>
      <c r="E93" s="49"/>
      <c r="F93" s="121"/>
    </row>
    <row r="94" spans="2:6" ht="15" x14ac:dyDescent="0.25">
      <c r="B94" s="127"/>
      <c r="C94" s="49"/>
      <c r="D94" s="49"/>
      <c r="E94" s="49"/>
      <c r="F94" s="121"/>
    </row>
    <row r="95" spans="2:6" ht="15" x14ac:dyDescent="0.25">
      <c r="B95" s="49"/>
      <c r="C95" s="49"/>
      <c r="D95" s="49"/>
      <c r="E95" s="49"/>
      <c r="F95" s="121"/>
    </row>
    <row r="96" spans="2:6" ht="15" x14ac:dyDescent="0.25">
      <c r="B96" s="49"/>
      <c r="C96" s="49"/>
      <c r="D96" s="49"/>
      <c r="E96" s="49"/>
      <c r="F96" s="121"/>
    </row>
    <row r="97" spans="2:6" ht="15" x14ac:dyDescent="0.25">
      <c r="B97" s="49"/>
      <c r="C97" s="49"/>
      <c r="D97" s="49"/>
      <c r="E97" s="49"/>
      <c r="F97" s="121"/>
    </row>
    <row r="98" spans="2:6" ht="15" x14ac:dyDescent="0.25">
      <c r="B98" s="128"/>
      <c r="C98" s="49"/>
      <c r="D98" s="49"/>
      <c r="E98" s="49"/>
      <c r="F98" s="121"/>
    </row>
    <row r="99" spans="2:6" ht="15.75" thickBot="1" x14ac:dyDescent="0.3">
      <c r="B99" s="122"/>
      <c r="C99" s="122"/>
      <c r="D99" s="122"/>
      <c r="E99" s="122"/>
      <c r="F99" s="129"/>
    </row>
    <row r="100" spans="2:6" ht="15" x14ac:dyDescent="0.25">
      <c r="B100" s="123"/>
      <c r="C100" s="123"/>
      <c r="D100" s="123"/>
      <c r="E100" s="123"/>
      <c r="F100" s="124"/>
    </row>
    <row r="101" spans="2:6" ht="15" x14ac:dyDescent="0.25">
      <c r="B101" s="49"/>
      <c r="C101" s="49"/>
      <c r="D101" s="49"/>
      <c r="E101" s="49"/>
      <c r="F101" s="121"/>
    </row>
    <row r="102" spans="2:6" ht="15" x14ac:dyDescent="0.25">
      <c r="B102" s="49"/>
      <c r="C102" s="49"/>
      <c r="D102" s="49"/>
      <c r="E102" s="49"/>
      <c r="F102" s="121"/>
    </row>
    <row r="103" spans="2:6" ht="15" x14ac:dyDescent="0.25">
      <c r="B103" s="49"/>
      <c r="C103" s="49"/>
      <c r="D103" s="49"/>
      <c r="E103" s="49"/>
      <c r="F103" s="121"/>
    </row>
    <row r="104" spans="2:6" ht="15" x14ac:dyDescent="0.25">
      <c r="B104" s="49"/>
      <c r="C104" s="49"/>
      <c r="D104" s="49"/>
      <c r="E104" s="49"/>
      <c r="F104" s="121"/>
    </row>
    <row r="105" spans="2:6" ht="15" x14ac:dyDescent="0.25">
      <c r="B105" s="49"/>
      <c r="C105" s="49"/>
      <c r="D105" s="49"/>
      <c r="E105" s="49"/>
      <c r="F105" s="121"/>
    </row>
    <row r="106" spans="2:6" ht="15" x14ac:dyDescent="0.25">
      <c r="B106" s="49"/>
      <c r="C106" s="49"/>
      <c r="D106" s="49"/>
      <c r="E106" s="49"/>
      <c r="F106" s="49"/>
    </row>
    <row r="107" spans="2:6" ht="15" x14ac:dyDescent="0.25">
      <c r="B107" s="49"/>
      <c r="C107" s="49"/>
      <c r="D107" s="49"/>
      <c r="E107" s="49"/>
      <c r="F107" s="49"/>
    </row>
    <row r="108" spans="2:6" ht="15" x14ac:dyDescent="0.25">
      <c r="B108" s="49"/>
      <c r="C108" s="49"/>
      <c r="D108" s="49"/>
      <c r="E108" s="49"/>
      <c r="F108" s="49"/>
    </row>
    <row r="109" spans="2:6" ht="15" x14ac:dyDescent="0.25">
      <c r="B109" s="49"/>
      <c r="C109" s="49"/>
      <c r="D109" s="49"/>
      <c r="E109" s="49"/>
      <c r="F109" s="49"/>
    </row>
    <row r="110" spans="2:6" ht="15" x14ac:dyDescent="0.25">
      <c r="B110" s="49"/>
      <c r="C110" s="49"/>
      <c r="D110" s="49"/>
      <c r="E110" s="49"/>
      <c r="F110" s="49"/>
    </row>
    <row r="111" spans="2:6" ht="15" x14ac:dyDescent="0.25">
      <c r="B111" s="49"/>
      <c r="C111" s="49"/>
      <c r="D111" s="49"/>
      <c r="E111" s="49"/>
      <c r="F111" s="49"/>
    </row>
    <row r="112" spans="2:6" ht="13.5" customHeight="1" x14ac:dyDescent="0.25">
      <c r="B112" s="49"/>
      <c r="C112" s="49"/>
      <c r="D112" s="49"/>
      <c r="E112" s="49"/>
      <c r="F112" s="49"/>
    </row>
    <row r="113" spans="2:6" ht="13.5" customHeight="1" x14ac:dyDescent="0.25">
      <c r="B113" s="49"/>
      <c r="C113" s="49"/>
      <c r="D113" s="49"/>
      <c r="E113" s="49"/>
      <c r="F113" s="49"/>
    </row>
    <row r="114" spans="2:6" ht="13.5" customHeight="1" x14ac:dyDescent="0.25">
      <c r="B114" s="49"/>
      <c r="C114" s="49"/>
      <c r="D114" s="49"/>
      <c r="E114" s="49"/>
      <c r="F114" s="49"/>
    </row>
    <row r="115" spans="2:6" ht="13.5" customHeight="1" x14ac:dyDescent="0.25">
      <c r="B115" s="49"/>
      <c r="C115" s="49"/>
      <c r="D115" s="49"/>
      <c r="E115" s="49"/>
      <c r="F115" s="49"/>
    </row>
    <row r="116" spans="2:6" ht="15.75" thickBot="1" x14ac:dyDescent="0.3">
      <c r="B116" s="125"/>
      <c r="C116" s="125"/>
      <c r="D116" s="125"/>
      <c r="E116" s="125"/>
      <c r="F116" s="125"/>
    </row>
    <row r="117" spans="2:6" ht="15" x14ac:dyDescent="0.25">
      <c r="B117" s="46"/>
      <c r="C117" s="50"/>
      <c r="D117" s="51"/>
      <c r="E117" s="50"/>
    </row>
    <row r="118" spans="2:6" x14ac:dyDescent="0.2">
      <c r="B118" s="26"/>
      <c r="C118" s="26"/>
      <c r="D118" s="34"/>
      <c r="E118" s="26"/>
    </row>
    <row r="119" spans="2:6" x14ac:dyDescent="0.2">
      <c r="B119" s="40"/>
      <c r="C119" s="26"/>
      <c r="D119" s="34"/>
      <c r="E119" s="26"/>
    </row>
    <row r="120" spans="2:6" x14ac:dyDescent="0.2">
      <c r="B120" s="44"/>
      <c r="C120" s="26"/>
      <c r="D120" s="34"/>
      <c r="E120" s="26"/>
    </row>
    <row r="121" spans="2:6" x14ac:dyDescent="0.2">
      <c r="B121" s="45"/>
      <c r="C121" s="26"/>
      <c r="D121" s="34"/>
      <c r="E121" s="26"/>
    </row>
    <row r="122" spans="2:6" x14ac:dyDescent="0.2">
      <c r="B122" s="44"/>
      <c r="C122" s="26"/>
      <c r="D122" s="34"/>
      <c r="E122" s="26"/>
    </row>
    <row r="123" spans="2:6" x14ac:dyDescent="0.2">
      <c r="B123" s="25"/>
      <c r="C123" s="26"/>
      <c r="D123" s="34"/>
      <c r="E123" s="26"/>
    </row>
    <row r="124" spans="2:6" x14ac:dyDescent="0.2">
      <c r="B124" s="25"/>
      <c r="C124" s="26"/>
      <c r="D124" s="34"/>
      <c r="E124" s="26"/>
    </row>
    <row r="125" spans="2:6" x14ac:dyDescent="0.2">
      <c r="B125" s="41"/>
      <c r="C125" s="26"/>
      <c r="D125" s="34"/>
      <c r="E125" s="26"/>
    </row>
    <row r="126" spans="2:6" x14ac:dyDescent="0.2">
      <c r="B126" s="25"/>
      <c r="C126" s="26"/>
      <c r="D126" s="34"/>
      <c r="E126" s="26"/>
    </row>
    <row r="127" spans="2:6" x14ac:dyDescent="0.2">
      <c r="B127" s="25"/>
      <c r="C127" s="26"/>
      <c r="D127" s="34"/>
      <c r="E127" s="26"/>
    </row>
    <row r="128" spans="2:6" x14ac:dyDescent="0.2">
      <c r="B128" s="26"/>
      <c r="C128" s="26"/>
      <c r="D128" s="34"/>
      <c r="E128" s="26"/>
    </row>
    <row r="129" spans="2:5" x14ac:dyDescent="0.2">
      <c r="B129" s="41"/>
      <c r="C129" s="26"/>
      <c r="D129" s="34"/>
      <c r="E129" s="26"/>
    </row>
    <row r="130" spans="2:5" x14ac:dyDescent="0.2">
      <c r="B130" s="25"/>
      <c r="C130" s="26"/>
      <c r="D130" s="34"/>
      <c r="E130" s="26"/>
    </row>
    <row r="131" spans="2:5" x14ac:dyDescent="0.2">
      <c r="B131" s="26"/>
      <c r="C131" s="26"/>
      <c r="D131" s="34"/>
      <c r="E131" s="26"/>
    </row>
    <row r="132" spans="2:5" x14ac:dyDescent="0.2">
      <c r="B132" s="41"/>
      <c r="C132" s="26"/>
      <c r="D132" s="34"/>
      <c r="E132" s="26"/>
    </row>
    <row r="133" spans="2:5" x14ac:dyDescent="0.2">
      <c r="B133" s="26"/>
      <c r="C133" s="26"/>
      <c r="D133" s="34"/>
      <c r="E133" s="26"/>
    </row>
    <row r="134" spans="2:5" x14ac:dyDescent="0.2">
      <c r="B134" s="31"/>
      <c r="C134" s="26"/>
      <c r="D134" s="34"/>
      <c r="E134" s="26"/>
    </row>
    <row r="135" spans="2:5" x14ac:dyDescent="0.2">
      <c r="B135" s="31"/>
      <c r="C135" s="26"/>
      <c r="D135" s="34"/>
      <c r="E135" s="26"/>
    </row>
    <row r="136" spans="2:5" x14ac:dyDescent="0.2">
      <c r="B136" s="31"/>
      <c r="C136" s="26"/>
      <c r="D136" s="34"/>
      <c r="E136" s="26"/>
    </row>
    <row r="137" spans="2:5" x14ac:dyDescent="0.2">
      <c r="B137" s="41"/>
      <c r="C137" s="26"/>
      <c r="D137" s="34"/>
      <c r="E137" s="26"/>
    </row>
    <row r="138" spans="2:5" x14ac:dyDescent="0.2">
      <c r="B138" s="44"/>
      <c r="C138" s="26"/>
      <c r="D138" s="34"/>
      <c r="E138" s="26"/>
    </row>
    <row r="139" spans="2:5" x14ac:dyDescent="0.2">
      <c r="B139" s="44"/>
      <c r="C139" s="26"/>
      <c r="D139" s="34"/>
      <c r="E139" s="26"/>
    </row>
    <row r="140" spans="2:5" x14ac:dyDescent="0.2">
      <c r="B140" s="26"/>
      <c r="C140" s="26"/>
      <c r="D140" s="34"/>
      <c r="E140" s="26"/>
    </row>
    <row r="141" spans="2:5" x14ac:dyDescent="0.2">
      <c r="B141" s="41"/>
      <c r="C141" s="26"/>
      <c r="D141" s="34"/>
      <c r="E141" s="26"/>
    </row>
    <row r="142" spans="2:5" x14ac:dyDescent="0.2">
      <c r="B142" s="41"/>
      <c r="C142" s="26"/>
      <c r="D142" s="34"/>
      <c r="E142" s="26"/>
    </row>
    <row r="143" spans="2:5" x14ac:dyDescent="0.2">
      <c r="B143" s="25"/>
      <c r="C143" s="26"/>
      <c r="D143" s="34"/>
      <c r="E143" s="26"/>
    </row>
    <row r="144" spans="2:5" x14ac:dyDescent="0.2">
      <c r="B144" s="25"/>
      <c r="C144" s="26"/>
      <c r="D144" s="34"/>
      <c r="E144" s="26"/>
    </row>
    <row r="145" spans="1:5" x14ac:dyDescent="0.2">
      <c r="B145" s="25"/>
      <c r="C145" s="26"/>
      <c r="D145" s="34"/>
      <c r="E145" s="26"/>
    </row>
    <row r="146" spans="1:5" x14ac:dyDescent="0.2">
      <c r="B146" s="25"/>
      <c r="C146" s="26"/>
      <c r="D146" s="34"/>
      <c r="E146" s="26"/>
    </row>
    <row r="147" spans="1:5" x14ac:dyDescent="0.2">
      <c r="B147" s="26"/>
      <c r="C147" s="26"/>
      <c r="D147" s="34"/>
      <c r="E147" s="26"/>
    </row>
    <row r="148" spans="1:5" x14ac:dyDescent="0.2">
      <c r="B148" s="26"/>
      <c r="C148" s="26"/>
      <c r="D148" s="34"/>
      <c r="E148" s="26"/>
    </row>
    <row r="149" spans="1:5" x14ac:dyDescent="0.2">
      <c r="B149" s="31"/>
      <c r="C149" s="26"/>
      <c r="D149" s="34"/>
      <c r="E149" s="26"/>
    </row>
    <row r="150" spans="1:5" x14ac:dyDescent="0.2">
      <c r="B150" s="41"/>
      <c r="C150" s="26"/>
      <c r="D150" s="34"/>
      <c r="E150" s="26"/>
    </row>
    <row r="151" spans="1:5" x14ac:dyDescent="0.2">
      <c r="B151" s="25"/>
      <c r="C151" s="26"/>
      <c r="D151" s="34"/>
      <c r="E151" s="26"/>
    </row>
    <row r="152" spans="1:5" x14ac:dyDescent="0.2">
      <c r="B152" s="25"/>
      <c r="C152" s="26"/>
      <c r="D152" s="34"/>
      <c r="E152" s="26"/>
    </row>
    <row r="153" spans="1:5" x14ac:dyDescent="0.2">
      <c r="B153" s="26"/>
      <c r="C153" s="26"/>
      <c r="D153" s="34"/>
      <c r="E153" s="26"/>
    </row>
    <row r="154" spans="1:5" x14ac:dyDescent="0.2">
      <c r="B154" s="37"/>
      <c r="C154" s="26"/>
      <c r="D154" s="34"/>
      <c r="E154" s="26"/>
    </row>
    <row r="155" spans="1:5" x14ac:dyDescent="0.2">
      <c r="B155" s="31"/>
      <c r="C155" s="26"/>
      <c r="D155" s="34"/>
      <c r="E155" s="26"/>
    </row>
    <row r="156" spans="1:5" x14ac:dyDescent="0.2">
      <c r="A156" s="32"/>
      <c r="B156" s="26"/>
      <c r="C156" s="26"/>
      <c r="D156" s="34"/>
      <c r="E156" s="26"/>
    </row>
    <row r="157" spans="1:5" x14ac:dyDescent="0.2">
      <c r="B157" s="31"/>
      <c r="C157" s="26"/>
      <c r="D157" s="34"/>
      <c r="E157" s="26"/>
    </row>
    <row r="158" spans="1:5" x14ac:dyDescent="0.2">
      <c r="B158" s="44"/>
      <c r="C158" s="26"/>
      <c r="D158" s="34"/>
      <c r="E158" s="26"/>
    </row>
    <row r="159" spans="1:5" x14ac:dyDescent="0.2">
      <c r="B159" s="42"/>
      <c r="C159" s="29"/>
      <c r="D159" s="35"/>
      <c r="E159" s="26"/>
    </row>
    <row r="160" spans="1:5" x14ac:dyDescent="0.2">
      <c r="B160" s="37"/>
      <c r="C160" s="26"/>
      <c r="D160" s="34"/>
      <c r="E160" s="26"/>
    </row>
    <row r="161" spans="2:5" x14ac:dyDescent="0.2">
      <c r="B161" s="41"/>
      <c r="C161" s="26"/>
      <c r="D161" s="34"/>
      <c r="E161" s="26"/>
    </row>
    <row r="162" spans="2:5" x14ac:dyDescent="0.2">
      <c r="B162" s="26"/>
      <c r="C162" s="26"/>
      <c r="D162" s="34"/>
      <c r="E162" s="26"/>
    </row>
    <row r="163" spans="2:5" x14ac:dyDescent="0.2">
      <c r="B163" s="41"/>
      <c r="C163" s="26"/>
      <c r="D163" s="34"/>
      <c r="E163" s="26"/>
    </row>
    <row r="164" spans="2:5" x14ac:dyDescent="0.2">
      <c r="B164" s="25"/>
      <c r="C164" s="26"/>
      <c r="D164" s="34"/>
      <c r="E164" s="26"/>
    </row>
    <row r="165" spans="2:5" x14ac:dyDescent="0.2">
      <c r="B165" s="25"/>
      <c r="C165" s="26"/>
      <c r="D165" s="34"/>
      <c r="E165" s="26"/>
    </row>
    <row r="166" spans="2:5" x14ac:dyDescent="0.2">
      <c r="B166" s="25"/>
      <c r="C166" s="26"/>
      <c r="D166" s="34"/>
      <c r="E166" s="43"/>
    </row>
    <row r="167" spans="2:5" ht="15" thickBot="1" x14ac:dyDescent="0.25">
      <c r="B167" s="40"/>
      <c r="C167" s="28"/>
      <c r="D167" s="36"/>
      <c r="E167" s="43"/>
    </row>
    <row r="168" spans="2:5" ht="15" thickBot="1" x14ac:dyDescent="0.25">
      <c r="B168" s="27"/>
      <c r="C168" s="28"/>
      <c r="D168" s="36"/>
      <c r="E168" s="43"/>
    </row>
    <row r="169" spans="2:5" x14ac:dyDescent="0.2">
      <c r="B169" s="40"/>
    </row>
  </sheetData>
  <autoFilter ref="B3:D168" xr:uid="{00000000-0009-0000-0000-000008000000}"/>
  <sortState ref="B12:F70">
    <sortCondition ref="B12:B70"/>
  </sortState>
  <customSheetViews>
    <customSheetView guid="{6CBF310A-A1BE-46B5-918C-2F2608E5F889}" showGridLines="0" fitToPage="1" showAutoFilter="1" topLeftCell="A79">
      <selection activeCell="E99" sqref="E99"/>
      <pageMargins left="0.7" right="0.7" top="0.75" bottom="0.75" header="0.3" footer="0.3"/>
      <pageSetup paperSize="9" scale="51" fitToHeight="0" orientation="portrait" r:id="rId1"/>
      <autoFilter ref="B3:D129" xr:uid="{00000000-0000-0000-0000-000000000000}"/>
    </customSheetView>
    <customSheetView guid="{932959AD-57BE-4F19-9A63-1790755BC301}" showGridLines="0" fitToPage="1" showAutoFilter="1" topLeftCell="A31">
      <selection activeCell="E41" sqref="E41"/>
      <pageMargins left="0.7" right="0.7" top="0.75" bottom="0.75" header="0.3" footer="0.3"/>
      <pageSetup paperSize="9" scale="51" fitToHeight="0" orientation="portrait" r:id="rId2"/>
      <autoFilter ref="B3:D128" xr:uid="{00000000-0000-0000-0000-000000000000}"/>
    </customSheetView>
    <customSheetView guid="{369A686F-D18F-4ED2-99C4-317DC1AD7F50}" showGridLines="0" fitToPage="1" showAutoFilter="1" topLeftCell="A31">
      <selection activeCell="E64" sqref="E64"/>
      <pageMargins left="0.7" right="0.7" top="0.75" bottom="0.75" header="0.3" footer="0.3"/>
      <pageSetup paperSize="9" scale="51" fitToHeight="0" orientation="portrait" r:id="rId3"/>
      <autoFilter ref="B1:D1" xr:uid="{00000000-0000-0000-0000-000000000000}"/>
    </customSheetView>
    <customSheetView guid="{EF0ABB43-B993-46C7-99BE-573267E24723}" showGridLines="0" fitToPage="1" showAutoFilter="1" topLeftCell="A31">
      <selection activeCell="E41" sqref="E41"/>
      <pageMargins left="0.7" right="0.7" top="0.75" bottom="0.75" header="0.3" footer="0.3"/>
      <pageSetup paperSize="9" scale="51" fitToHeight="0" orientation="portrait" r:id="rId4"/>
      <autoFilter ref="B3:D129" xr:uid="{00000000-0000-0000-0000-000000000000}"/>
    </customSheetView>
  </customSheetViews>
  <mergeCells count="2">
    <mergeCell ref="B2:D2"/>
    <mergeCell ref="E2:F2"/>
  </mergeCells>
  <conditionalFormatting sqref="J4">
    <cfRule type="colorScale" priority="69">
      <colorScale>
        <cfvo type="min"/>
        <cfvo type="max"/>
        <color rgb="FF00B0F0"/>
        <color rgb="FFFFEF9C"/>
      </colorScale>
    </cfRule>
  </conditionalFormatting>
  <conditionalFormatting sqref="B28">
    <cfRule type="cellIs" dxfId="8" priority="9" operator="equal">
      <formula>#N/A</formula>
    </cfRule>
  </conditionalFormatting>
  <conditionalFormatting sqref="B26">
    <cfRule type="cellIs" dxfId="7" priority="8" operator="equal">
      <formula>#N/A</formula>
    </cfRule>
  </conditionalFormatting>
  <conditionalFormatting sqref="B27">
    <cfRule type="cellIs" dxfId="6" priority="7" operator="equal">
      <formula>#N/A</formula>
    </cfRule>
  </conditionalFormatting>
  <conditionalFormatting sqref="B29">
    <cfRule type="cellIs" dxfId="5" priority="6" operator="equal">
      <formula>#N/A</formula>
    </cfRule>
  </conditionalFormatting>
  <conditionalFormatting sqref="B30">
    <cfRule type="cellIs" dxfId="4" priority="5" operator="equal">
      <formula>#N/A</formula>
    </cfRule>
  </conditionalFormatting>
  <conditionalFormatting sqref="B38:B41">
    <cfRule type="cellIs" dxfId="3" priority="4" operator="equal">
      <formula>#N/A</formula>
    </cfRule>
  </conditionalFormatting>
  <conditionalFormatting sqref="B6:B7">
    <cfRule type="cellIs" dxfId="2" priority="3" operator="equal">
      <formula>#N/A</formula>
    </cfRule>
  </conditionalFormatting>
  <conditionalFormatting sqref="B8:B10">
    <cfRule type="cellIs" dxfId="1" priority="2" operator="equal">
      <formula>#N/A</formula>
    </cfRule>
  </conditionalFormatting>
  <conditionalFormatting sqref="B5">
    <cfRule type="cellIs" dxfId="0" priority="1" operator="equal">
      <formula>#N/A</formula>
    </cfRule>
  </conditionalFormatting>
  <pageMargins left="0.7" right="0.7" top="0.75" bottom="0.75" header="0.3" footer="0.3"/>
  <pageSetup paperSize="9" scale="51" fitToHeight="0" orientation="portrait" r:id="rId5"/>
  <drawing r:id="rId6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8</vt:i4>
      </vt:variant>
    </vt:vector>
  </HeadingPairs>
  <TitlesOfParts>
    <vt:vector size="17" baseType="lpstr">
      <vt:lpstr>Cover Sheet</vt:lpstr>
      <vt:lpstr>Monday</vt:lpstr>
      <vt:lpstr>Tuesday</vt:lpstr>
      <vt:lpstr>Wednesday</vt:lpstr>
      <vt:lpstr>Thursday</vt:lpstr>
      <vt:lpstr>Friday</vt:lpstr>
      <vt:lpstr>Returns</vt:lpstr>
      <vt:lpstr>Pallets Summary</vt:lpstr>
      <vt:lpstr>Reference List</vt:lpstr>
      <vt:lpstr>'Cover Sheet'!Print_Area</vt:lpstr>
      <vt:lpstr>Friday!Print_Area</vt:lpstr>
      <vt:lpstr>Monday!Print_Area</vt:lpstr>
      <vt:lpstr>Returns!Print_Area</vt:lpstr>
      <vt:lpstr>Thursday!Print_Area</vt:lpstr>
      <vt:lpstr>Tuesday!Print_Area</vt:lpstr>
      <vt:lpstr>Wednesday!Print_Area</vt:lpstr>
      <vt:lpstr>TEMP</vt:lpstr>
    </vt:vector>
  </TitlesOfParts>
  <Company>Linfox Transport Australia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Arnott's Despatch</dc:title>
  <dc:creator>Jason Warburton</dc:creator>
  <cp:lastModifiedBy>Jay Geng</cp:lastModifiedBy>
  <cp:lastPrinted>2020-05-01T03:36:10Z</cp:lastPrinted>
  <dcterms:created xsi:type="dcterms:W3CDTF">2013-02-19T02:30:07Z</dcterms:created>
  <dcterms:modified xsi:type="dcterms:W3CDTF">2020-09-16T23:08:35Z</dcterms:modified>
</cp:coreProperties>
</file>