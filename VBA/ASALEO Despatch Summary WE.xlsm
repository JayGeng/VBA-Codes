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aleo\DESPATCH SUMMARY\"/>
    </mc:Choice>
  </mc:AlternateContent>
  <xr:revisionPtr revIDLastSave="0" documentId="13_ncr:1_{9A88E4D6-B9DD-4EFA-97F1-AFAC486E28DA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Cover Sheet" sheetId="2" r:id="rId1"/>
    <sheet name="Monday" sheetId="24" r:id="rId2"/>
    <sheet name="Tuesday" sheetId="15" r:id="rId3"/>
    <sheet name="Wednesday" sheetId="26" r:id="rId4"/>
    <sheet name="Thursday" sheetId="27" r:id="rId5"/>
    <sheet name="Friday" sheetId="25" r:id="rId6"/>
    <sheet name="Saturday" sheetId="30" r:id="rId7"/>
    <sheet name="Reference List" sheetId="4" r:id="rId8"/>
    <sheet name="BULK ORDERS" sheetId="28" r:id="rId9"/>
    <sheet name="SMALLS" sheetId="29" r:id="rId10"/>
    <sheet name="TEMPLATE" sheetId="5" r:id="rId11"/>
    <sheet name="COVER SHEET TEMPLATE" sheetId="6" r:id="rId12"/>
  </sheets>
  <definedNames>
    <definedName name="_xlnm._FilterDatabase" localSheetId="7" hidden="1">'Reference List'!$B$3:$D$168</definedName>
    <definedName name="_xlnm._FilterDatabase" localSheetId="10" hidden="1">TEMPLATE!$B$3:$S$3</definedName>
    <definedName name="_xlnm.Print_Area" localSheetId="0">'Cover Sheet'!$B$2:$D$24</definedName>
    <definedName name="_xlnm.Print_Area" localSheetId="11">'COVER SHEET TEMPLATE'!$A$2:$D$24</definedName>
    <definedName name="_xlnm.Print_Area" localSheetId="5">Friday!$C$4:$M$38</definedName>
    <definedName name="_xlnm.Print_Area" localSheetId="1">Monday!$C$4:$M$38</definedName>
    <definedName name="_xlnm.Print_Area" localSheetId="6">Saturday!$C$4:$M$38</definedName>
    <definedName name="_xlnm.Print_Area" localSheetId="10">TEMPLATE!$B$1:$T$36</definedName>
    <definedName name="_xlnm.Print_Area" localSheetId="4">Thursday!$C$4:$M$38</definedName>
    <definedName name="_xlnm.Print_Area" localSheetId="2">Tuesday!$C$4:$M$38</definedName>
    <definedName name="_xlnm.Print_Area" localSheetId="3">Wednesday!$C$4:$M$38</definedName>
    <definedName name="TEMP">'Reference List'!$J$4:$J$7</definedName>
    <definedName name="Z_2C64CA2B_4AD1_4AD2_95A6_B7911B902A5D_.wvu.Cols" localSheetId="0" hidden="1">'Cover Sheet'!#REF!,'Cover Sheet'!$F:$G</definedName>
    <definedName name="Z_2C64CA2B_4AD1_4AD2_95A6_B7911B902A5D_.wvu.Cols" localSheetId="11" hidden="1">'COVER SHEET TEMPLATE'!#REF!,'COVER SHEET TEMPLATE'!$F:$G</definedName>
    <definedName name="Z_2C64CA2B_4AD1_4AD2_95A6_B7911B902A5D_.wvu.Rows" localSheetId="0" hidden="1">'Cover Sheet'!#REF!</definedName>
    <definedName name="Z_2C64CA2B_4AD1_4AD2_95A6_B7911B902A5D_.wvu.Rows" localSheetId="11" hidden="1">'COVER SHEET TEMPLATE'!#REF!</definedName>
    <definedName name="Z_369A686F_D18F_4ED2_99C4_317DC1AD7F50_.wvu.FilterData" localSheetId="7" hidden="1">'Reference List'!$B$3:$D$3</definedName>
    <definedName name="Z_369A686F_D18F_4ED2_99C4_317DC1AD7F50_.wvu.FilterData" localSheetId="10" hidden="1">TEMPLATE!$B$3:$S$3</definedName>
    <definedName name="Z_369A686F_D18F_4ED2_99C4_317DC1AD7F50_.wvu.PrintArea" localSheetId="0" hidden="1">'Cover Sheet'!$A$2:$D$23</definedName>
    <definedName name="Z_369A686F_D18F_4ED2_99C4_317DC1AD7F50_.wvu.PrintArea" localSheetId="11" hidden="1">'COVER SHEET TEMPLATE'!$A$2:$D$24</definedName>
    <definedName name="Z_369A686F_D18F_4ED2_99C4_317DC1AD7F50_.wvu.PrintArea" localSheetId="10" hidden="1">TEMPLATE!$B$1:$T$36</definedName>
    <definedName name="Z_369A686F_D18F_4ED2_99C4_317DC1AD7F50_.wvu.Rows" localSheetId="0" hidden="1">'Cover Sheet'!$16:$16</definedName>
    <definedName name="Z_369A686F_D18F_4ED2_99C4_317DC1AD7F50_.wvu.Rows" localSheetId="11" hidden="1">'COVER SHEET TEMPLATE'!$17:$17</definedName>
    <definedName name="Z_493ABA57_6FDC_439E_AF8C_29A0E8080B78_.wvu.PrintArea" localSheetId="10" hidden="1">TEMPLATE!$B$1:$T$36</definedName>
    <definedName name="Z_64B2C3F6_D01C_4754_8176_1ECFCC2B7F3E_.wvu.PrintArea" localSheetId="0" hidden="1">'Cover Sheet'!$A$2:$D$23</definedName>
    <definedName name="Z_64B2C3F6_D01C_4754_8176_1ECFCC2B7F3E_.wvu.PrintArea" localSheetId="11" hidden="1">'COVER SHEET TEMPLATE'!$A$2:$D$24</definedName>
    <definedName name="Z_6CBF310A_A1BE_46B5_918C_2F2608E5F889_.wvu.FilterData" localSheetId="7" hidden="1">'Reference List'!$B$3:$D$168</definedName>
    <definedName name="Z_6CBF310A_A1BE_46B5_918C_2F2608E5F889_.wvu.FilterData" localSheetId="10" hidden="1">TEMPLATE!$B$3:$S$3</definedName>
    <definedName name="Z_6CBF310A_A1BE_46B5_918C_2F2608E5F889_.wvu.PrintArea" localSheetId="0" hidden="1">'Cover Sheet'!$A$2:$D$23</definedName>
    <definedName name="Z_6CBF310A_A1BE_46B5_918C_2F2608E5F889_.wvu.PrintArea" localSheetId="11" hidden="1">'COVER SHEET TEMPLATE'!$A$2:$D$24</definedName>
    <definedName name="Z_6CBF310A_A1BE_46B5_918C_2F2608E5F889_.wvu.PrintArea" localSheetId="10" hidden="1">TEMPLATE!$B$1:$T$36</definedName>
    <definedName name="Z_6CBF310A_A1BE_46B5_918C_2F2608E5F889_.wvu.Rows" localSheetId="0" hidden="1">'Cover Sheet'!$16:$16</definedName>
    <definedName name="Z_6CBF310A_A1BE_46B5_918C_2F2608E5F889_.wvu.Rows" localSheetId="11" hidden="1">'COVER SHEET TEMPLATE'!$17:$17</definedName>
    <definedName name="Z_932959AD_57BE_4F19_9A63_1790755BC301_.wvu.FilterData" localSheetId="7" hidden="1">'Reference List'!$B$3:$D$3</definedName>
    <definedName name="Z_932959AD_57BE_4F19_9A63_1790755BC301_.wvu.FilterData" localSheetId="10" hidden="1">TEMPLATE!$B$3:$S$3</definedName>
    <definedName name="Z_932959AD_57BE_4F19_9A63_1790755BC301_.wvu.PrintArea" localSheetId="0" hidden="1">'Cover Sheet'!$A$2:$D$23</definedName>
    <definedName name="Z_932959AD_57BE_4F19_9A63_1790755BC301_.wvu.PrintArea" localSheetId="11" hidden="1">'COVER SHEET TEMPLATE'!$A$2:$D$24</definedName>
    <definedName name="Z_932959AD_57BE_4F19_9A63_1790755BC301_.wvu.PrintArea" localSheetId="10" hidden="1">TEMPLATE!$B$1:$T$36</definedName>
    <definedName name="Z_932959AD_57BE_4F19_9A63_1790755BC301_.wvu.Rows" localSheetId="0" hidden="1">'Cover Sheet'!$16:$16</definedName>
    <definedName name="Z_932959AD_57BE_4F19_9A63_1790755BC301_.wvu.Rows" localSheetId="11" hidden="1">'COVER SHEET TEMPLATE'!$17:$17</definedName>
    <definedName name="Z_B5EE5758_C604_447D_BD9D_7FD491B8BC6B_.wvu.PrintArea" localSheetId="10" hidden="1">TEMPLATE!$B$1:$T$36</definedName>
    <definedName name="Z_CFEC4AF9_8CF4_4F95_B66C_F28D8E66C75A_.wvu.PrintArea" localSheetId="10" hidden="1">TEMPLATE!$B$1:$T$36</definedName>
    <definedName name="Z_EF0ABB43_B993_46C7_99BE_573267E24723_.wvu.FilterData" localSheetId="7" hidden="1">'Reference List'!$B$3:$D$168</definedName>
    <definedName name="Z_EF0ABB43_B993_46C7_99BE_573267E24723_.wvu.FilterData" localSheetId="10" hidden="1">TEMPLATE!$B$3:$S$3</definedName>
    <definedName name="Z_EF0ABB43_B993_46C7_99BE_573267E24723_.wvu.PrintArea" localSheetId="0" hidden="1">'Cover Sheet'!$A$2:$D$23</definedName>
    <definedName name="Z_EF0ABB43_B993_46C7_99BE_573267E24723_.wvu.PrintArea" localSheetId="11" hidden="1">'COVER SHEET TEMPLATE'!$A$2:$D$24</definedName>
    <definedName name="Z_EF0ABB43_B993_46C7_99BE_573267E24723_.wvu.PrintArea" localSheetId="10" hidden="1">TEMPLATE!$B$1:$T$36</definedName>
    <definedName name="Z_EF0ABB43_B993_46C7_99BE_573267E24723_.wvu.Rows" localSheetId="0" hidden="1">'Cover Sheet'!$16:$16</definedName>
    <definedName name="Z_EF0ABB43_B993_46C7_99BE_573267E24723_.wvu.Rows" localSheetId="11" hidden="1">'COVER SHEET TEMPLATE'!$17:$17</definedName>
    <definedName name="Z_F0B6E4B6_BBA2_45DF_97F2_815ACC25604B_.wvu.PrintArea" localSheetId="0" hidden="1">'Cover Sheet'!$A$2:$D$23</definedName>
    <definedName name="Z_F0B6E4B6_BBA2_45DF_97F2_815ACC25604B_.wvu.PrintArea" localSheetId="11" hidden="1">'COVER SHEET TEMPLATE'!$A$2:$D$24</definedName>
    <definedName name="Z_FB4D15CA_F2F1_4B2E_BE17_05EDB187096C_.wvu.PrintArea" localSheetId="10" hidden="1">TEMPLATE!$B$1:$T$36</definedName>
  </definedNames>
  <calcPr calcId="191029"/>
  <customWorkbookViews>
    <customWorkbookView name="Jason Warburton - Personal View" guid="{6CBF310A-A1BE-46B5-918C-2F2608E5F889}" mergeInterval="0" personalView="1" maximized="1" windowWidth="1920" windowHeight="890" activeSheetId="3"/>
    <customWorkbookView name="Beverly Butler - Personal View" guid="{932959AD-57BE-4F19-9A63-1790755BC301}" mergeInterval="0" personalView="1" maximized="1" windowWidth="1276" windowHeight="809" activeSheetId="3"/>
    <customWorkbookView name="Jacqui Browne - Personal View" guid="{369A686F-D18F-4ED2-99C4-317DC1AD7F50}" mergeInterval="0" personalView="1" maximized="1" windowWidth="1276" windowHeight="555" activeSheetId="3"/>
    <customWorkbookView name="Joshua Rye - Personal View" guid="{EF0ABB43-B993-46C7-99BE-573267E24723}" mergeInterval="0" personalView="1" maximized="1" windowWidth="1920" windowHeight="890" activeSheetId="1"/>
  </customWorkbookView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30" l="1"/>
  <c r="J103" i="30" l="1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I59" i="30"/>
  <c r="J58" i="30"/>
  <c r="I58" i="30"/>
  <c r="J57" i="30"/>
  <c r="I57" i="30"/>
  <c r="J56" i="30"/>
  <c r="I56" i="30"/>
  <c r="J55" i="30"/>
  <c r="I55" i="30"/>
  <c r="J54" i="30"/>
  <c r="I54" i="30"/>
  <c r="J53" i="30"/>
  <c r="I53" i="30"/>
  <c r="J52" i="30"/>
  <c r="I52" i="30"/>
  <c r="J51" i="30"/>
  <c r="I51" i="30"/>
  <c r="J50" i="30"/>
  <c r="I50" i="30"/>
  <c r="J49" i="30"/>
  <c r="I49" i="30"/>
  <c r="J48" i="30"/>
  <c r="I48" i="30"/>
  <c r="J47" i="30"/>
  <c r="I47" i="30"/>
  <c r="J46" i="30"/>
  <c r="I46" i="30"/>
  <c r="J45" i="30"/>
  <c r="I45" i="30"/>
  <c r="J44" i="30"/>
  <c r="I44" i="30"/>
  <c r="J43" i="30"/>
  <c r="I43" i="30"/>
  <c r="H42" i="30"/>
  <c r="J42" i="30" s="1"/>
  <c r="H41" i="30"/>
  <c r="I41" i="30" s="1"/>
  <c r="H40" i="30"/>
  <c r="J40" i="30" s="1"/>
  <c r="H39" i="30"/>
  <c r="J39" i="30" s="1"/>
  <c r="H38" i="30"/>
  <c r="J38" i="30" s="1"/>
  <c r="H37" i="30"/>
  <c r="I37" i="30" s="1"/>
  <c r="H36" i="30"/>
  <c r="J36" i="30" s="1"/>
  <c r="H35" i="30"/>
  <c r="J35" i="30" s="1"/>
  <c r="H34" i="30"/>
  <c r="J34" i="30" s="1"/>
  <c r="H33" i="30"/>
  <c r="I33" i="30" s="1"/>
  <c r="H32" i="30"/>
  <c r="J32" i="30" s="1"/>
  <c r="H31" i="30"/>
  <c r="J31" i="30" s="1"/>
  <c r="J30" i="30"/>
  <c r="I30" i="30"/>
  <c r="J29" i="30"/>
  <c r="I29" i="30"/>
  <c r="J28" i="30"/>
  <c r="I28" i="30"/>
  <c r="J27" i="30"/>
  <c r="I27" i="30"/>
  <c r="J26" i="30"/>
  <c r="I26" i="30"/>
  <c r="J25" i="30"/>
  <c r="I25" i="30"/>
  <c r="J24" i="30"/>
  <c r="I24" i="30"/>
  <c r="J23" i="30"/>
  <c r="I23" i="30"/>
  <c r="J22" i="30"/>
  <c r="I22" i="30"/>
  <c r="J18" i="30"/>
  <c r="I18" i="30"/>
  <c r="J17" i="30"/>
  <c r="I17" i="30"/>
  <c r="J16" i="30"/>
  <c r="I16" i="30"/>
  <c r="J15" i="30"/>
  <c r="I15" i="30"/>
  <c r="J14" i="30"/>
  <c r="I14" i="30"/>
  <c r="J13" i="30"/>
  <c r="I13" i="30"/>
  <c r="J12" i="30"/>
  <c r="I12" i="30"/>
  <c r="J11" i="30"/>
  <c r="I11" i="30"/>
  <c r="J10" i="30"/>
  <c r="I10" i="30"/>
  <c r="J9" i="30"/>
  <c r="I9" i="30"/>
  <c r="J8" i="30"/>
  <c r="I8" i="30"/>
  <c r="J7" i="30"/>
  <c r="I7" i="30"/>
  <c r="I6" i="30"/>
  <c r="N2" i="30"/>
  <c r="Q2" i="30" s="1"/>
  <c r="C25" i="30" l="1"/>
  <c r="C29" i="30"/>
  <c r="C33" i="30"/>
  <c r="C37" i="30"/>
  <c r="C41" i="30"/>
  <c r="C45" i="30"/>
  <c r="C49" i="30"/>
  <c r="C53" i="30"/>
  <c r="C57" i="30"/>
  <c r="C61" i="30"/>
  <c r="C65" i="30"/>
  <c r="C69" i="30"/>
  <c r="C73" i="30"/>
  <c r="C77" i="30"/>
  <c r="C81" i="30"/>
  <c r="C85" i="30"/>
  <c r="C89" i="30"/>
  <c r="C93" i="30"/>
  <c r="C97" i="30"/>
  <c r="C101" i="30"/>
  <c r="C23" i="30"/>
  <c r="C27" i="30"/>
  <c r="C31" i="30"/>
  <c r="C35" i="30"/>
  <c r="C39" i="30"/>
  <c r="C43" i="30"/>
  <c r="C47" i="30"/>
  <c r="C51" i="30"/>
  <c r="C55" i="30"/>
  <c r="C59" i="30"/>
  <c r="C63" i="30"/>
  <c r="C67" i="30"/>
  <c r="C71" i="30"/>
  <c r="C75" i="30"/>
  <c r="C79" i="30"/>
  <c r="C83" i="30"/>
  <c r="C87" i="30"/>
  <c r="C91" i="30"/>
  <c r="C95" i="30"/>
  <c r="C99" i="30"/>
  <c r="C103" i="30"/>
  <c r="C30" i="30"/>
  <c r="C38" i="30"/>
  <c r="C46" i="30"/>
  <c r="C54" i="30"/>
  <c r="C62" i="30"/>
  <c r="C70" i="30"/>
  <c r="C78" i="30"/>
  <c r="C86" i="30"/>
  <c r="C94" i="30"/>
  <c r="C102" i="30"/>
  <c r="C8" i="30"/>
  <c r="C12" i="30"/>
  <c r="C16" i="30"/>
  <c r="C24" i="30"/>
  <c r="C32" i="30"/>
  <c r="C40" i="30"/>
  <c r="C48" i="30"/>
  <c r="C56" i="30"/>
  <c r="C64" i="30"/>
  <c r="C72" i="30"/>
  <c r="C80" i="30"/>
  <c r="C88" i="30"/>
  <c r="C96" i="30"/>
  <c r="C22" i="30"/>
  <c r="C9" i="30"/>
  <c r="C13" i="30"/>
  <c r="C17" i="30"/>
  <c r="C26" i="30"/>
  <c r="C42" i="30"/>
  <c r="C58" i="30"/>
  <c r="C74" i="30"/>
  <c r="C90" i="30"/>
  <c r="C14" i="30"/>
  <c r="C50" i="30"/>
  <c r="C82" i="30"/>
  <c r="C18" i="30"/>
  <c r="C6" i="30"/>
  <c r="C36" i="30"/>
  <c r="C68" i="30"/>
  <c r="C100" i="30"/>
  <c r="C28" i="30"/>
  <c r="C44" i="30"/>
  <c r="C60" i="30"/>
  <c r="C76" i="30"/>
  <c r="C92" i="30"/>
  <c r="C7" i="30"/>
  <c r="C15" i="30"/>
  <c r="C34" i="30"/>
  <c r="C66" i="30"/>
  <c r="C98" i="30"/>
  <c r="C10" i="30"/>
  <c r="C52" i="30"/>
  <c r="C84" i="30"/>
  <c r="C11" i="30"/>
  <c r="J37" i="30"/>
  <c r="I40" i="30"/>
  <c r="J41" i="30"/>
  <c r="J33" i="30"/>
  <c r="I32" i="30"/>
  <c r="I34" i="30"/>
  <c r="I36" i="30"/>
  <c r="I38" i="30"/>
  <c r="I42" i="30"/>
  <c r="I31" i="30"/>
  <c r="I35" i="30"/>
  <c r="I39" i="30"/>
  <c r="D24" i="2"/>
  <c r="C24" i="2"/>
  <c r="Q2" i="24" l="1"/>
  <c r="A20" i="28"/>
  <c r="A6" i="29"/>
  <c r="A7" i="28"/>
  <c r="A16" i="28"/>
  <c r="A22" i="28"/>
  <c r="A14" i="28"/>
  <c r="A11" i="28"/>
  <c r="A6" i="28"/>
  <c r="A18" i="28"/>
  <c r="A23" i="29"/>
  <c r="A19" i="28"/>
  <c r="A10" i="28"/>
  <c r="A10" i="29"/>
  <c r="A11" i="29"/>
  <c r="A12" i="28"/>
  <c r="A9" i="28"/>
  <c r="A7" i="29"/>
  <c r="A17" i="29"/>
  <c r="A16" i="29"/>
  <c r="A22" i="29"/>
  <c r="A17" i="28"/>
  <c r="A20" i="29"/>
  <c r="B4" i="29"/>
  <c r="A21" i="29"/>
  <c r="A13" i="29"/>
  <c r="A21" i="28"/>
  <c r="A13" i="28"/>
  <c r="A9" i="29"/>
  <c r="A15" i="29"/>
  <c r="A14" i="29"/>
  <c r="A12" i="29"/>
  <c r="A19" i="29"/>
  <c r="A15" i="28"/>
  <c r="A23" i="28"/>
  <c r="A8" i="28"/>
  <c r="A18" i="29"/>
  <c r="A8" i="29"/>
  <c r="C23" i="24" l="1"/>
  <c r="C27" i="24"/>
  <c r="C31" i="24"/>
  <c r="C35" i="24"/>
  <c r="C39" i="24"/>
  <c r="C43" i="24"/>
  <c r="C47" i="24"/>
  <c r="C51" i="24"/>
  <c r="C55" i="24"/>
  <c r="C59" i="24"/>
  <c r="C63" i="24"/>
  <c r="C67" i="24"/>
  <c r="C71" i="24"/>
  <c r="C75" i="24"/>
  <c r="C79" i="24"/>
  <c r="C83" i="24"/>
  <c r="C87" i="24"/>
  <c r="C91" i="24"/>
  <c r="C95" i="24"/>
  <c r="C99" i="24"/>
  <c r="C103" i="24"/>
  <c r="C9" i="24"/>
  <c r="C13" i="24"/>
  <c r="C17" i="24"/>
  <c r="C36" i="24"/>
  <c r="C48" i="24"/>
  <c r="C60" i="24"/>
  <c r="C68" i="24"/>
  <c r="C72" i="24"/>
  <c r="C80" i="24"/>
  <c r="C24" i="24"/>
  <c r="C28" i="24"/>
  <c r="C32" i="24"/>
  <c r="C40" i="24"/>
  <c r="C44" i="24"/>
  <c r="C52" i="24"/>
  <c r="C56" i="24"/>
  <c r="C64" i="24"/>
  <c r="C76" i="24"/>
  <c r="C25" i="24"/>
  <c r="C33" i="24"/>
  <c r="C41" i="24"/>
  <c r="C49" i="24"/>
  <c r="C57" i="24"/>
  <c r="C65" i="24"/>
  <c r="C73" i="24"/>
  <c r="C81" i="24"/>
  <c r="C86" i="24"/>
  <c r="C92" i="24"/>
  <c r="C97" i="24"/>
  <c r="C102" i="24"/>
  <c r="C10" i="24"/>
  <c r="C15" i="24"/>
  <c r="C98" i="24"/>
  <c r="C22" i="24"/>
  <c r="C16" i="24"/>
  <c r="C29" i="24"/>
  <c r="C45" i="24"/>
  <c r="C61" i="24"/>
  <c r="C77" i="24"/>
  <c r="C94" i="24"/>
  <c r="C7" i="24"/>
  <c r="C18" i="24"/>
  <c r="C38" i="24"/>
  <c r="C62" i="24"/>
  <c r="C78" i="24"/>
  <c r="C90" i="24"/>
  <c r="C101" i="24"/>
  <c r="C14" i="24"/>
  <c r="C26" i="24"/>
  <c r="C34" i="24"/>
  <c r="C42" i="24"/>
  <c r="C50" i="24"/>
  <c r="C58" i="24"/>
  <c r="C66" i="24"/>
  <c r="C74" i="24"/>
  <c r="C82" i="24"/>
  <c r="C88" i="24"/>
  <c r="C93" i="24"/>
  <c r="C11" i="24"/>
  <c r="C37" i="24"/>
  <c r="C53" i="24"/>
  <c r="C69" i="24"/>
  <c r="C84" i="24"/>
  <c r="C89" i="24"/>
  <c r="C100" i="24"/>
  <c r="C12" i="24"/>
  <c r="C30" i="24"/>
  <c r="C46" i="24"/>
  <c r="C54" i="24"/>
  <c r="C70" i="24"/>
  <c r="C85" i="24"/>
  <c r="C96" i="24"/>
  <c r="C8" i="24"/>
  <c r="C6" i="24"/>
  <c r="H17" i="29"/>
  <c r="H20" i="29"/>
  <c r="H11" i="29"/>
  <c r="H12" i="29"/>
  <c r="H18" i="29"/>
  <c r="H21" i="29"/>
  <c r="H23" i="29"/>
  <c r="H16" i="29"/>
  <c r="H19" i="29"/>
  <c r="H8" i="29"/>
  <c r="H9" i="29"/>
  <c r="H7" i="29"/>
  <c r="H22" i="29"/>
  <c r="H14" i="29"/>
  <c r="H10" i="29"/>
  <c r="H13" i="29"/>
  <c r="H15" i="29"/>
  <c r="H6" i="29"/>
  <c r="G6" i="29"/>
  <c r="H11" i="28"/>
  <c r="H22" i="28"/>
  <c r="H13" i="28"/>
  <c r="H15" i="28"/>
  <c r="H10" i="28"/>
  <c r="H12" i="28"/>
  <c r="H17" i="28"/>
  <c r="H21" i="28"/>
  <c r="H9" i="28"/>
  <c r="H23" i="28"/>
  <c r="H7" i="28"/>
  <c r="H16" i="28"/>
  <c r="H8" i="28"/>
  <c r="H14" i="28"/>
  <c r="H18" i="28"/>
  <c r="H6" i="28"/>
  <c r="D12" i="29"/>
  <c r="E12" i="29"/>
  <c r="C12" i="29"/>
  <c r="G12" i="29"/>
  <c r="D20" i="29"/>
  <c r="G20" i="29"/>
  <c r="C20" i="29"/>
  <c r="E20" i="29"/>
  <c r="E21" i="29"/>
  <c r="D21" i="29"/>
  <c r="G21" i="29"/>
  <c r="C21" i="29"/>
  <c r="G10" i="29"/>
  <c r="E10" i="29"/>
  <c r="C10" i="29"/>
  <c r="D10" i="29"/>
  <c r="G14" i="29"/>
  <c r="E14" i="29"/>
  <c r="C14" i="29"/>
  <c r="D14" i="29"/>
  <c r="G18" i="29"/>
  <c r="E18" i="29"/>
  <c r="C18" i="29"/>
  <c r="D18" i="29"/>
  <c r="G22" i="29"/>
  <c r="E22" i="29"/>
  <c r="C22" i="29"/>
  <c r="D22" i="29"/>
  <c r="D16" i="29"/>
  <c r="G16" i="29"/>
  <c r="E16" i="29"/>
  <c r="C16" i="29"/>
  <c r="E13" i="29"/>
  <c r="D13" i="29"/>
  <c r="G13" i="29"/>
  <c r="C13" i="29"/>
  <c r="G17" i="29"/>
  <c r="C17" i="29"/>
  <c r="D17" i="29"/>
  <c r="E17" i="29"/>
  <c r="G11" i="29"/>
  <c r="E11" i="29"/>
  <c r="C11" i="29"/>
  <c r="D11" i="29"/>
  <c r="D15" i="29"/>
  <c r="G15" i="29"/>
  <c r="E15" i="29"/>
  <c r="C15" i="29"/>
  <c r="G19" i="29"/>
  <c r="E19" i="29"/>
  <c r="C19" i="29"/>
  <c r="D19" i="29"/>
  <c r="D23" i="29"/>
  <c r="G23" i="29"/>
  <c r="E23" i="29"/>
  <c r="C23" i="29"/>
  <c r="G7" i="29"/>
  <c r="G8" i="29"/>
  <c r="G9" i="29"/>
  <c r="E7" i="29"/>
  <c r="E8" i="29"/>
  <c r="E9" i="29"/>
  <c r="E6" i="29"/>
  <c r="D7" i="29"/>
  <c r="D8" i="29"/>
  <c r="D9" i="29"/>
  <c r="D6" i="29"/>
  <c r="C7" i="29"/>
  <c r="C8" i="29"/>
  <c r="C9" i="29"/>
  <c r="C6" i="29"/>
  <c r="B7" i="29"/>
  <c r="B6" i="29"/>
  <c r="I7" i="25"/>
  <c r="I8" i="25"/>
  <c r="I9" i="25"/>
  <c r="I10" i="25"/>
  <c r="I11" i="25"/>
  <c r="I12" i="25"/>
  <c r="I13" i="25"/>
  <c r="I14" i="25"/>
  <c r="I15" i="25"/>
  <c r="I16" i="25"/>
  <c r="I17" i="25"/>
  <c r="I18" i="25"/>
  <c r="D25" i="29" l="1"/>
  <c r="G8" i="28"/>
  <c r="G7" i="28"/>
  <c r="B6" i="28"/>
  <c r="G6" i="28"/>
  <c r="E7" i="28"/>
  <c r="E8" i="28"/>
  <c r="E6" i="28"/>
  <c r="D7" i="28"/>
  <c r="D8" i="28"/>
  <c r="D6" i="28"/>
  <c r="C7" i="28"/>
  <c r="C8" i="28"/>
  <c r="C6" i="28"/>
  <c r="B7" i="28"/>
  <c r="B8" i="28"/>
  <c r="G11" i="28" l="1"/>
  <c r="D11" i="28"/>
  <c r="E11" i="28"/>
  <c r="C11" i="28"/>
  <c r="G10" i="28"/>
  <c r="D10" i="28"/>
  <c r="E10" i="28"/>
  <c r="C10" i="28"/>
  <c r="G9" i="28"/>
  <c r="B9" i="28"/>
  <c r="E9" i="28"/>
  <c r="C9" i="28"/>
  <c r="D9" i="28"/>
  <c r="I7" i="27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22" i="24"/>
  <c r="J22" i="24"/>
  <c r="I23" i="24"/>
  <c r="J23" i="24"/>
  <c r="I24" i="24"/>
  <c r="J24" i="24"/>
  <c r="I25" i="24"/>
  <c r="J25" i="24"/>
  <c r="J26" i="24"/>
  <c r="I27" i="24"/>
  <c r="J27" i="24"/>
  <c r="I28" i="24"/>
  <c r="J28" i="24"/>
  <c r="H29" i="24"/>
  <c r="B8" i="29" s="1"/>
  <c r="H30" i="24"/>
  <c r="B9" i="29" s="1"/>
  <c r="H31" i="24"/>
  <c r="B10" i="29" s="1"/>
  <c r="H32" i="24"/>
  <c r="B11" i="29" s="1"/>
  <c r="H33" i="24"/>
  <c r="B12" i="29" s="1"/>
  <c r="H34" i="24"/>
  <c r="H35" i="24"/>
  <c r="H36" i="24"/>
  <c r="H37" i="24"/>
  <c r="H38" i="24"/>
  <c r="H39" i="24"/>
  <c r="H40" i="24"/>
  <c r="I40" i="24" s="1"/>
  <c r="H41" i="24"/>
  <c r="I41" i="24" s="1"/>
  <c r="H42" i="24"/>
  <c r="I42" i="24" s="1"/>
  <c r="I43" i="24"/>
  <c r="J43" i="24"/>
  <c r="I44" i="24"/>
  <c r="J44" i="24"/>
  <c r="I45" i="24"/>
  <c r="J45" i="24"/>
  <c r="I46" i="24"/>
  <c r="J46" i="24"/>
  <c r="I47" i="24"/>
  <c r="J47" i="24"/>
  <c r="I48" i="24"/>
  <c r="J48" i="24"/>
  <c r="I6" i="15"/>
  <c r="J6" i="15"/>
  <c r="I7" i="15"/>
  <c r="J7" i="15"/>
  <c r="F7" i="28" s="1"/>
  <c r="I8" i="15"/>
  <c r="J8" i="15"/>
  <c r="F8" i="28" s="1"/>
  <c r="I9" i="15"/>
  <c r="J9" i="15"/>
  <c r="B10" i="28"/>
  <c r="J10" i="15"/>
  <c r="B11" i="28"/>
  <c r="J11" i="15"/>
  <c r="F11" i="28" s="1"/>
  <c r="J12" i="15"/>
  <c r="J13" i="15"/>
  <c r="J14" i="15"/>
  <c r="J15" i="15"/>
  <c r="J16" i="15"/>
  <c r="J17" i="15"/>
  <c r="J18" i="15"/>
  <c r="I22" i="15"/>
  <c r="J22" i="15"/>
  <c r="I23" i="15"/>
  <c r="J23" i="15"/>
  <c r="I24" i="15"/>
  <c r="J24" i="15"/>
  <c r="I25" i="15"/>
  <c r="J25" i="15"/>
  <c r="I26" i="15"/>
  <c r="J26" i="15"/>
  <c r="I27" i="15"/>
  <c r="J27" i="15"/>
  <c r="I28" i="15"/>
  <c r="J28" i="15"/>
  <c r="I29" i="15"/>
  <c r="J29" i="15"/>
  <c r="I30" i="15"/>
  <c r="J30" i="15"/>
  <c r="I31" i="15"/>
  <c r="J31" i="15"/>
  <c r="H32" i="15"/>
  <c r="I32" i="15" s="1"/>
  <c r="H33" i="15"/>
  <c r="I33" i="15" s="1"/>
  <c r="H34" i="15"/>
  <c r="I34" i="15" s="1"/>
  <c r="H35" i="15"/>
  <c r="I35" i="15" s="1"/>
  <c r="H36" i="15"/>
  <c r="I36" i="15" s="1"/>
  <c r="H37" i="15"/>
  <c r="I37" i="15" s="1"/>
  <c r="H38" i="15"/>
  <c r="I38" i="15" s="1"/>
  <c r="H39" i="15"/>
  <c r="I39" i="15" s="1"/>
  <c r="H40" i="15"/>
  <c r="I40" i="15" s="1"/>
  <c r="H41" i="15"/>
  <c r="I41" i="15" s="1"/>
  <c r="H42" i="15"/>
  <c r="I42" i="15" s="1"/>
  <c r="I43" i="15"/>
  <c r="J43" i="15"/>
  <c r="I44" i="15"/>
  <c r="J44" i="15"/>
  <c r="I45" i="15"/>
  <c r="J45" i="15"/>
  <c r="I46" i="15"/>
  <c r="J46" i="15"/>
  <c r="I47" i="15"/>
  <c r="J47" i="15"/>
  <c r="I48" i="15"/>
  <c r="J48" i="15"/>
  <c r="I6" i="26"/>
  <c r="J6" i="26"/>
  <c r="I7" i="26"/>
  <c r="J7" i="26"/>
  <c r="I8" i="26"/>
  <c r="J8" i="26"/>
  <c r="I9" i="26"/>
  <c r="J9" i="26"/>
  <c r="I10" i="26"/>
  <c r="J10" i="26"/>
  <c r="I11" i="26"/>
  <c r="J11" i="26"/>
  <c r="I12" i="26"/>
  <c r="J12" i="26"/>
  <c r="J13" i="26"/>
  <c r="I13" i="26"/>
  <c r="J14" i="26"/>
  <c r="I14" i="26"/>
  <c r="J15" i="26"/>
  <c r="I15" i="26"/>
  <c r="J16" i="26"/>
  <c r="I16" i="26"/>
  <c r="J17" i="26"/>
  <c r="I18" i="26"/>
  <c r="J18" i="26"/>
  <c r="I22" i="26"/>
  <c r="J22" i="26"/>
  <c r="I23" i="26"/>
  <c r="J23" i="26"/>
  <c r="I24" i="26"/>
  <c r="J24" i="26"/>
  <c r="I25" i="26"/>
  <c r="J25" i="26"/>
  <c r="I26" i="26"/>
  <c r="J26" i="26"/>
  <c r="I27" i="26"/>
  <c r="J27" i="26"/>
  <c r="I28" i="26"/>
  <c r="J28" i="26"/>
  <c r="I29" i="26"/>
  <c r="J29" i="26"/>
  <c r="I30" i="26"/>
  <c r="J30" i="26"/>
  <c r="I31" i="26"/>
  <c r="J31" i="26"/>
  <c r="I32" i="26"/>
  <c r="J32" i="26"/>
  <c r="I33" i="26"/>
  <c r="J33" i="26"/>
  <c r="I34" i="26"/>
  <c r="J34" i="26"/>
  <c r="I35" i="26"/>
  <c r="J35" i="26"/>
  <c r="I36" i="26"/>
  <c r="J36" i="26"/>
  <c r="I37" i="26"/>
  <c r="J37" i="26"/>
  <c r="H38" i="26"/>
  <c r="J38" i="26" s="1"/>
  <c r="H39" i="26"/>
  <c r="I39" i="26" s="1"/>
  <c r="H40" i="26"/>
  <c r="I40" i="26" s="1"/>
  <c r="H41" i="26"/>
  <c r="J41" i="26" s="1"/>
  <c r="H42" i="26"/>
  <c r="I42" i="26" s="1"/>
  <c r="I43" i="26"/>
  <c r="J43" i="26"/>
  <c r="I44" i="26"/>
  <c r="J44" i="26"/>
  <c r="I45" i="26"/>
  <c r="J45" i="26"/>
  <c r="I46" i="26"/>
  <c r="J46" i="26"/>
  <c r="I47" i="26"/>
  <c r="J47" i="26"/>
  <c r="I48" i="26"/>
  <c r="J48" i="26"/>
  <c r="I6" i="27"/>
  <c r="J6" i="27"/>
  <c r="J7" i="27"/>
  <c r="I8" i="27"/>
  <c r="J8" i="27"/>
  <c r="I9" i="27"/>
  <c r="J9" i="27"/>
  <c r="I10" i="27"/>
  <c r="J10" i="27"/>
  <c r="I11" i="27"/>
  <c r="J11" i="27"/>
  <c r="I12" i="27"/>
  <c r="J12" i="27"/>
  <c r="I13" i="27"/>
  <c r="J13" i="27"/>
  <c r="I14" i="27"/>
  <c r="J14" i="27"/>
  <c r="I15" i="27"/>
  <c r="J15" i="27"/>
  <c r="I16" i="27"/>
  <c r="J16" i="27"/>
  <c r="I17" i="27"/>
  <c r="J17" i="27"/>
  <c r="J18" i="27"/>
  <c r="I22" i="27"/>
  <c r="J22" i="27"/>
  <c r="I23" i="27"/>
  <c r="J23" i="27"/>
  <c r="I24" i="27"/>
  <c r="J24" i="27"/>
  <c r="I25" i="27"/>
  <c r="J25" i="27"/>
  <c r="I26" i="27"/>
  <c r="J26" i="27"/>
  <c r="I27" i="27"/>
  <c r="J27" i="27"/>
  <c r="I28" i="27"/>
  <c r="J28" i="27"/>
  <c r="I29" i="27"/>
  <c r="J29" i="27"/>
  <c r="I30" i="27"/>
  <c r="J30" i="27"/>
  <c r="I31" i="27"/>
  <c r="J31" i="27"/>
  <c r="I32" i="27"/>
  <c r="J32" i="27"/>
  <c r="I33" i="27"/>
  <c r="J33" i="27"/>
  <c r="I34" i="27"/>
  <c r="J34" i="27"/>
  <c r="I35" i="27"/>
  <c r="J35" i="27"/>
  <c r="I36" i="27"/>
  <c r="J36" i="27"/>
  <c r="I37" i="27"/>
  <c r="J37" i="27"/>
  <c r="I38" i="27"/>
  <c r="J38" i="27"/>
  <c r="I39" i="27"/>
  <c r="J39" i="27"/>
  <c r="I40" i="27"/>
  <c r="J40" i="27"/>
  <c r="I41" i="27"/>
  <c r="J41" i="27"/>
  <c r="I42" i="27"/>
  <c r="J42" i="27"/>
  <c r="I43" i="27"/>
  <c r="J43" i="27"/>
  <c r="I44" i="27"/>
  <c r="J44" i="27"/>
  <c r="I45" i="27"/>
  <c r="J45" i="27"/>
  <c r="I46" i="27"/>
  <c r="J46" i="27"/>
  <c r="I47" i="27"/>
  <c r="J47" i="27"/>
  <c r="I48" i="27"/>
  <c r="J48" i="27"/>
  <c r="I6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I22" i="25"/>
  <c r="J22" i="25"/>
  <c r="I23" i="25"/>
  <c r="J23" i="25"/>
  <c r="I24" i="25"/>
  <c r="J24" i="25"/>
  <c r="I25" i="25"/>
  <c r="J25" i="25"/>
  <c r="I26" i="25"/>
  <c r="J26" i="25"/>
  <c r="I27" i="25"/>
  <c r="J27" i="25"/>
  <c r="I28" i="25"/>
  <c r="J28" i="25"/>
  <c r="I29" i="25"/>
  <c r="J29" i="25"/>
  <c r="I30" i="25"/>
  <c r="J30" i="25"/>
  <c r="H31" i="25"/>
  <c r="I31" i="25" s="1"/>
  <c r="H32" i="25"/>
  <c r="J32" i="25" s="1"/>
  <c r="H33" i="25"/>
  <c r="I33" i="25" s="1"/>
  <c r="H34" i="25"/>
  <c r="J34" i="25" s="1"/>
  <c r="H35" i="25"/>
  <c r="I35" i="25" s="1"/>
  <c r="H36" i="25"/>
  <c r="J36" i="25" s="1"/>
  <c r="H37" i="25"/>
  <c r="J37" i="25" s="1"/>
  <c r="H38" i="25"/>
  <c r="I38" i="25" s="1"/>
  <c r="H39" i="25"/>
  <c r="I39" i="25" s="1"/>
  <c r="H40" i="25"/>
  <c r="J40" i="25" s="1"/>
  <c r="H41" i="25"/>
  <c r="I41" i="25" s="1"/>
  <c r="H42" i="25"/>
  <c r="I42" i="25" s="1"/>
  <c r="I43" i="25"/>
  <c r="J43" i="25"/>
  <c r="I44" i="25"/>
  <c r="J44" i="25"/>
  <c r="I45" i="25"/>
  <c r="J45" i="25"/>
  <c r="I46" i="25"/>
  <c r="J46" i="25"/>
  <c r="I47" i="25"/>
  <c r="J47" i="25"/>
  <c r="I48" i="25"/>
  <c r="J48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9" i="24"/>
  <c r="J50" i="24"/>
  <c r="J51" i="24"/>
  <c r="J52" i="24"/>
  <c r="J53" i="24"/>
  <c r="J54" i="24"/>
  <c r="J55" i="24"/>
  <c r="J56" i="24"/>
  <c r="J57" i="24"/>
  <c r="J58" i="24"/>
  <c r="J59" i="24"/>
  <c r="J60" i="24"/>
  <c r="J61" i="24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62" i="24"/>
  <c r="N2" i="26"/>
  <c r="Q2" i="26" s="1"/>
  <c r="N2" i="15"/>
  <c r="Q2" i="15" s="1"/>
  <c r="N2" i="25"/>
  <c r="Q2" i="25" s="1"/>
  <c r="N2" i="27"/>
  <c r="Q2" i="27" s="1"/>
  <c r="I49" i="27"/>
  <c r="I50" i="27"/>
  <c r="I51" i="27"/>
  <c r="I52" i="27"/>
  <c r="I53" i="27"/>
  <c r="I54" i="27"/>
  <c r="I55" i="27"/>
  <c r="I56" i="27"/>
  <c r="I57" i="27"/>
  <c r="I58" i="27"/>
  <c r="I59" i="27"/>
  <c r="I60" i="27"/>
  <c r="I61" i="27"/>
  <c r="I59" i="26"/>
  <c r="I58" i="26"/>
  <c r="I57" i="26"/>
  <c r="I56" i="26"/>
  <c r="I55" i="26"/>
  <c r="I54" i="26"/>
  <c r="I53" i="26"/>
  <c r="I52" i="26"/>
  <c r="I51" i="26"/>
  <c r="I50" i="26"/>
  <c r="I49" i="26"/>
  <c r="I59" i="25"/>
  <c r="I58" i="25"/>
  <c r="I57" i="25"/>
  <c r="I56" i="25"/>
  <c r="I55" i="25"/>
  <c r="I54" i="25"/>
  <c r="I53" i="25"/>
  <c r="I52" i="25"/>
  <c r="I51" i="25"/>
  <c r="I50" i="25"/>
  <c r="I49" i="25"/>
  <c r="I59" i="24"/>
  <c r="I58" i="24"/>
  <c r="I57" i="24"/>
  <c r="I56" i="24"/>
  <c r="I55" i="24"/>
  <c r="I54" i="24"/>
  <c r="I53" i="24"/>
  <c r="I52" i="24"/>
  <c r="I51" i="24"/>
  <c r="I50" i="24"/>
  <c r="I49" i="24"/>
  <c r="I49" i="15"/>
  <c r="I50" i="15"/>
  <c r="I51" i="15"/>
  <c r="I52" i="15"/>
  <c r="I53" i="15"/>
  <c r="I54" i="15"/>
  <c r="I55" i="15"/>
  <c r="I56" i="15"/>
  <c r="I57" i="15"/>
  <c r="I58" i="15"/>
  <c r="I59" i="15"/>
  <c r="D4" i="5"/>
  <c r="C4" i="5" s="1"/>
  <c r="H4" i="5"/>
  <c r="D5" i="5"/>
  <c r="C5" i="5" s="1"/>
  <c r="H5" i="5"/>
  <c r="D6" i="5"/>
  <c r="C6" i="5" s="1"/>
  <c r="H6" i="5"/>
  <c r="D7" i="5"/>
  <c r="C7" i="5" s="1"/>
  <c r="H7" i="5"/>
  <c r="D8" i="5"/>
  <c r="C8" i="5" s="1"/>
  <c r="H8" i="5"/>
  <c r="D9" i="5"/>
  <c r="C9" i="5"/>
  <c r="H9" i="5"/>
  <c r="D10" i="5"/>
  <c r="C10" i="5" s="1"/>
  <c r="H10" i="5"/>
  <c r="D11" i="5"/>
  <c r="C11" i="5" s="1"/>
  <c r="H11" i="5"/>
  <c r="D12" i="5"/>
  <c r="C12" i="5" s="1"/>
  <c r="H12" i="5"/>
  <c r="D13" i="5"/>
  <c r="C13" i="5" s="1"/>
  <c r="H13" i="5"/>
  <c r="D14" i="5"/>
  <c r="C14" i="5"/>
  <c r="H14" i="5"/>
  <c r="D15" i="5"/>
  <c r="C15" i="5" s="1"/>
  <c r="H15" i="5"/>
  <c r="D16" i="5"/>
  <c r="C16" i="5" s="1"/>
  <c r="H16" i="5"/>
  <c r="D17" i="5"/>
  <c r="C17" i="5" s="1"/>
  <c r="H17" i="5"/>
  <c r="D18" i="5"/>
  <c r="C18" i="5" s="1"/>
  <c r="H18" i="5"/>
  <c r="D19" i="5"/>
  <c r="C19" i="5" s="1"/>
  <c r="H19" i="5"/>
  <c r="D20" i="5"/>
  <c r="C20" i="5" s="1"/>
  <c r="H20" i="5"/>
  <c r="D21" i="5"/>
  <c r="C21" i="5" s="1"/>
  <c r="H21" i="5"/>
  <c r="D22" i="5"/>
  <c r="C22" i="5" s="1"/>
  <c r="H22" i="5"/>
  <c r="D23" i="5"/>
  <c r="C23" i="5" s="1"/>
  <c r="H23" i="5"/>
  <c r="D24" i="5"/>
  <c r="C24" i="5" s="1"/>
  <c r="D25" i="5"/>
  <c r="C25" i="5" s="1"/>
  <c r="H25" i="5"/>
  <c r="D26" i="5"/>
  <c r="C26" i="5" s="1"/>
  <c r="H26" i="5"/>
  <c r="D27" i="5"/>
  <c r="C27" i="5" s="1"/>
  <c r="H27" i="5"/>
  <c r="D28" i="5"/>
  <c r="C28" i="5" s="1"/>
  <c r="H28" i="5"/>
  <c r="D29" i="5"/>
  <c r="C29" i="5" s="1"/>
  <c r="H29" i="5"/>
  <c r="D30" i="5"/>
  <c r="C30" i="5" s="1"/>
  <c r="H30" i="5"/>
  <c r="D31" i="5"/>
  <c r="C31" i="5" s="1"/>
  <c r="H31" i="5"/>
  <c r="D32" i="5"/>
  <c r="C32" i="5" s="1"/>
  <c r="H32" i="5"/>
  <c r="D33" i="5"/>
  <c r="C33" i="5" s="1"/>
  <c r="H33" i="5"/>
  <c r="D34" i="5"/>
  <c r="C34" i="5"/>
  <c r="H34" i="5"/>
  <c r="D35" i="5"/>
  <c r="C35" i="5" s="1"/>
  <c r="H35" i="5"/>
  <c r="D36" i="5"/>
  <c r="C36" i="5" s="1"/>
  <c r="H36" i="5"/>
  <c r="D37" i="5"/>
  <c r="C37" i="5" s="1"/>
  <c r="H37" i="5"/>
  <c r="D38" i="5"/>
  <c r="C38" i="5" s="1"/>
  <c r="H38" i="5"/>
  <c r="D39" i="5"/>
  <c r="C39" i="5" s="1"/>
  <c r="H39" i="5"/>
  <c r="D40" i="5"/>
  <c r="C40" i="5"/>
  <c r="H40" i="5"/>
  <c r="D41" i="5"/>
  <c r="C41" i="5" s="1"/>
  <c r="H41" i="5"/>
  <c r="D42" i="5"/>
  <c r="C42" i="5" s="1"/>
  <c r="H42" i="5"/>
  <c r="D43" i="5"/>
  <c r="C43" i="5" s="1"/>
  <c r="H43" i="5"/>
  <c r="D44" i="5"/>
  <c r="C44" i="5" s="1"/>
  <c r="H44" i="5"/>
  <c r="D45" i="5"/>
  <c r="C45" i="5"/>
  <c r="H45" i="5"/>
  <c r="D46" i="5"/>
  <c r="C46" i="5" s="1"/>
  <c r="H46" i="5"/>
  <c r="D47" i="5"/>
  <c r="C47" i="5" s="1"/>
  <c r="H47" i="5"/>
  <c r="D48" i="5"/>
  <c r="C48" i="5" s="1"/>
  <c r="H48" i="5"/>
  <c r="D49" i="5"/>
  <c r="C49" i="5" s="1"/>
  <c r="H49" i="5"/>
  <c r="D50" i="5"/>
  <c r="C50" i="5" s="1"/>
  <c r="H50" i="5"/>
  <c r="D51" i="5"/>
  <c r="C51" i="5" s="1"/>
  <c r="H51" i="5"/>
  <c r="D52" i="5"/>
  <c r="C52" i="5" s="1"/>
  <c r="H52" i="5"/>
  <c r="D53" i="5"/>
  <c r="C53" i="5" s="1"/>
  <c r="H53" i="5"/>
  <c r="D54" i="5"/>
  <c r="C54" i="5" s="1"/>
  <c r="H54" i="5"/>
  <c r="D55" i="5"/>
  <c r="C55" i="5" s="1"/>
  <c r="H55" i="5"/>
  <c r="D56" i="5"/>
  <c r="C56" i="5" s="1"/>
  <c r="H56" i="5"/>
  <c r="D57" i="5"/>
  <c r="C57" i="5" s="1"/>
  <c r="H57" i="5"/>
  <c r="D58" i="5"/>
  <c r="C58" i="5"/>
  <c r="H58" i="5"/>
  <c r="D59" i="5"/>
  <c r="C59" i="5" s="1"/>
  <c r="H59" i="5"/>
  <c r="D60" i="5"/>
  <c r="C60" i="5" s="1"/>
  <c r="H60" i="5"/>
  <c r="D61" i="5"/>
  <c r="C61" i="5" s="1"/>
  <c r="H61" i="5"/>
  <c r="D62" i="5"/>
  <c r="C62" i="5" s="1"/>
  <c r="H62" i="5"/>
  <c r="D63" i="5"/>
  <c r="C63" i="5" s="1"/>
  <c r="H63" i="5"/>
  <c r="D64" i="5"/>
  <c r="C64" i="5" s="1"/>
  <c r="H64" i="5"/>
  <c r="D65" i="5"/>
  <c r="C65" i="5" s="1"/>
  <c r="H65" i="5"/>
  <c r="D66" i="5"/>
  <c r="C66" i="5"/>
  <c r="H66" i="5"/>
  <c r="D67" i="5"/>
  <c r="C67" i="5" s="1"/>
  <c r="H67" i="5"/>
  <c r="D68" i="5"/>
  <c r="C68" i="5" s="1"/>
  <c r="H68" i="5"/>
  <c r="D69" i="5"/>
  <c r="C69" i="5" s="1"/>
  <c r="H69" i="5"/>
  <c r="D70" i="5"/>
  <c r="C70" i="5" s="1"/>
  <c r="H70" i="5"/>
  <c r="D71" i="5"/>
  <c r="C71" i="5" s="1"/>
  <c r="H71" i="5"/>
  <c r="D72" i="5"/>
  <c r="C72" i="5" s="1"/>
  <c r="H72" i="5"/>
  <c r="D73" i="5"/>
  <c r="C73" i="5" s="1"/>
  <c r="H73" i="5"/>
  <c r="D74" i="5"/>
  <c r="C74" i="5" s="1"/>
  <c r="H74" i="5"/>
  <c r="D75" i="5"/>
  <c r="C75" i="5" s="1"/>
  <c r="H75" i="5"/>
  <c r="D76" i="5"/>
  <c r="C76" i="5" s="1"/>
  <c r="H76" i="5"/>
  <c r="D77" i="5"/>
  <c r="C77" i="5"/>
  <c r="H77" i="5"/>
  <c r="D78" i="5"/>
  <c r="C78" i="5" s="1"/>
  <c r="H78" i="5"/>
  <c r="D79" i="5"/>
  <c r="C79" i="5" s="1"/>
  <c r="H79" i="5"/>
  <c r="D80" i="5"/>
  <c r="C80" i="5" s="1"/>
  <c r="H80" i="5"/>
  <c r="D81" i="5"/>
  <c r="C81" i="5" s="1"/>
  <c r="H81" i="5"/>
  <c r="D82" i="5"/>
  <c r="C82" i="5"/>
  <c r="H82" i="5"/>
  <c r="D83" i="5"/>
  <c r="C83" i="5" s="1"/>
  <c r="H83" i="5"/>
  <c r="D84" i="5"/>
  <c r="C84" i="5" s="1"/>
  <c r="H84" i="5"/>
  <c r="D85" i="5"/>
  <c r="C85" i="5" s="1"/>
  <c r="H85" i="5"/>
  <c r="D86" i="5"/>
  <c r="C86" i="5" s="1"/>
  <c r="H86" i="5"/>
  <c r="D87" i="5"/>
  <c r="C87" i="5" s="1"/>
  <c r="H87" i="5"/>
  <c r="D88" i="5"/>
  <c r="C88" i="5" s="1"/>
  <c r="H88" i="5"/>
  <c r="D89" i="5"/>
  <c r="C89" i="5" s="1"/>
  <c r="H89" i="5"/>
  <c r="D90" i="5"/>
  <c r="C90" i="5" s="1"/>
  <c r="H90" i="5"/>
  <c r="D91" i="5"/>
  <c r="C91" i="5" s="1"/>
  <c r="H91" i="5"/>
  <c r="D92" i="5"/>
  <c r="C92" i="5" s="1"/>
  <c r="H92" i="5"/>
  <c r="D93" i="5"/>
  <c r="C93" i="5" s="1"/>
  <c r="H93" i="5"/>
  <c r="D94" i="5"/>
  <c r="C94" i="5" s="1"/>
  <c r="H94" i="5"/>
  <c r="D95" i="5"/>
  <c r="C95" i="5" s="1"/>
  <c r="H95" i="5"/>
  <c r="D96" i="5"/>
  <c r="C96" i="5" s="1"/>
  <c r="H96" i="5"/>
  <c r="D97" i="5"/>
  <c r="C97" i="5" s="1"/>
  <c r="H97" i="5"/>
  <c r="D98" i="5"/>
  <c r="C98" i="5"/>
  <c r="H98" i="5"/>
  <c r="D99" i="5"/>
  <c r="C99" i="5" s="1"/>
  <c r="H99" i="5"/>
  <c r="D100" i="5"/>
  <c r="C100" i="5" s="1"/>
  <c r="H100" i="5"/>
  <c r="D101" i="5"/>
  <c r="C101" i="5" s="1"/>
  <c r="H101" i="5"/>
  <c r="D102" i="5"/>
  <c r="C102" i="5" s="1"/>
  <c r="H102" i="5"/>
  <c r="D103" i="5"/>
  <c r="C103" i="5" s="1"/>
  <c r="H103" i="5"/>
  <c r="D104" i="5"/>
  <c r="C104" i="5" s="1"/>
  <c r="H104" i="5"/>
  <c r="B10" i="6"/>
  <c r="B24" i="6" s="1"/>
  <c r="D19" i="6"/>
  <c r="B12" i="6"/>
  <c r="D20" i="6"/>
  <c r="D14" i="6"/>
  <c r="D22" i="6"/>
  <c r="C15" i="6"/>
  <c r="B22" i="2"/>
  <c r="B4" i="28"/>
  <c r="F7" i="29" l="1"/>
  <c r="F6" i="29"/>
  <c r="C24" i="26"/>
  <c r="C28" i="26"/>
  <c r="C32" i="26"/>
  <c r="C36" i="26"/>
  <c r="C40" i="26"/>
  <c r="C44" i="26"/>
  <c r="C48" i="26"/>
  <c r="C52" i="26"/>
  <c r="C56" i="26"/>
  <c r="C60" i="26"/>
  <c r="C64" i="26"/>
  <c r="C68" i="26"/>
  <c r="C72" i="26"/>
  <c r="C76" i="26"/>
  <c r="C80" i="26"/>
  <c r="C84" i="26"/>
  <c r="C88" i="26"/>
  <c r="C92" i="26"/>
  <c r="C96" i="26"/>
  <c r="C100" i="26"/>
  <c r="C26" i="26"/>
  <c r="C30" i="26"/>
  <c r="C34" i="26"/>
  <c r="C38" i="26"/>
  <c r="C42" i="26"/>
  <c r="C46" i="26"/>
  <c r="C50" i="26"/>
  <c r="C54" i="26"/>
  <c r="C58" i="26"/>
  <c r="C62" i="26"/>
  <c r="C66" i="26"/>
  <c r="C70" i="26"/>
  <c r="C74" i="26"/>
  <c r="C78" i="26"/>
  <c r="C82" i="26"/>
  <c r="C86" i="26"/>
  <c r="C90" i="26"/>
  <c r="C94" i="26"/>
  <c r="C98" i="26"/>
  <c r="C102" i="26"/>
  <c r="C25" i="26"/>
  <c r="C33" i="26"/>
  <c r="C41" i="26"/>
  <c r="C49" i="26"/>
  <c r="C57" i="26"/>
  <c r="C65" i="26"/>
  <c r="C73" i="26"/>
  <c r="C81" i="26"/>
  <c r="C89" i="26"/>
  <c r="C97" i="26"/>
  <c r="C8" i="26"/>
  <c r="C12" i="26"/>
  <c r="C16" i="26"/>
  <c r="C27" i="26"/>
  <c r="C35" i="26"/>
  <c r="C43" i="26"/>
  <c r="C51" i="26"/>
  <c r="C59" i="26"/>
  <c r="C67" i="26"/>
  <c r="C75" i="26"/>
  <c r="C83" i="26"/>
  <c r="C91" i="26"/>
  <c r="C99" i="26"/>
  <c r="C9" i="26"/>
  <c r="C13" i="26"/>
  <c r="C17" i="26"/>
  <c r="C29" i="26"/>
  <c r="C45" i="26"/>
  <c r="C61" i="26"/>
  <c r="C77" i="26"/>
  <c r="C93" i="26"/>
  <c r="C22" i="26"/>
  <c r="C10" i="26"/>
  <c r="C18" i="26"/>
  <c r="C53" i="26"/>
  <c r="C14" i="26"/>
  <c r="C39" i="26"/>
  <c r="C55" i="26"/>
  <c r="C87" i="26"/>
  <c r="C15" i="26"/>
  <c r="C31" i="26"/>
  <c r="C47" i="26"/>
  <c r="C63" i="26"/>
  <c r="C79" i="26"/>
  <c r="C95" i="26"/>
  <c r="C11" i="26"/>
  <c r="C6" i="26"/>
  <c r="C37" i="26"/>
  <c r="C69" i="26"/>
  <c r="C85" i="26"/>
  <c r="C101" i="26"/>
  <c r="C23" i="26"/>
  <c r="C71" i="26"/>
  <c r="C103" i="26"/>
  <c r="C7" i="26"/>
  <c r="C23" i="27"/>
  <c r="C27" i="27"/>
  <c r="C31" i="27"/>
  <c r="C35" i="27"/>
  <c r="C39" i="27"/>
  <c r="C43" i="27"/>
  <c r="C47" i="27"/>
  <c r="C51" i="27"/>
  <c r="C55" i="27"/>
  <c r="C59" i="27"/>
  <c r="C63" i="27"/>
  <c r="C67" i="27"/>
  <c r="C71" i="27"/>
  <c r="C75" i="27"/>
  <c r="C79" i="27"/>
  <c r="C83" i="27"/>
  <c r="C87" i="27"/>
  <c r="C91" i="27"/>
  <c r="C95" i="27"/>
  <c r="C99" i="27"/>
  <c r="C103" i="27"/>
  <c r="C25" i="27"/>
  <c r="C29" i="27"/>
  <c r="C33" i="27"/>
  <c r="C37" i="27"/>
  <c r="C41" i="27"/>
  <c r="C45" i="27"/>
  <c r="C49" i="27"/>
  <c r="C53" i="27"/>
  <c r="C57" i="27"/>
  <c r="C61" i="27"/>
  <c r="C65" i="27"/>
  <c r="C69" i="27"/>
  <c r="C73" i="27"/>
  <c r="C77" i="27"/>
  <c r="C81" i="27"/>
  <c r="C85" i="27"/>
  <c r="C89" i="27"/>
  <c r="C93" i="27"/>
  <c r="C97" i="27"/>
  <c r="C101" i="27"/>
  <c r="C24" i="27"/>
  <c r="C32" i="27"/>
  <c r="C40" i="27"/>
  <c r="C48" i="27"/>
  <c r="C56" i="27"/>
  <c r="C64" i="27"/>
  <c r="C72" i="27"/>
  <c r="C80" i="27"/>
  <c r="C88" i="27"/>
  <c r="C96" i="27"/>
  <c r="C8" i="27"/>
  <c r="C12" i="27"/>
  <c r="C16" i="27"/>
  <c r="C6" i="27"/>
  <c r="C26" i="27"/>
  <c r="C34" i="27"/>
  <c r="C42" i="27"/>
  <c r="C50" i="27"/>
  <c r="C58" i="27"/>
  <c r="C66" i="27"/>
  <c r="C74" i="27"/>
  <c r="C82" i="27"/>
  <c r="C90" i="27"/>
  <c r="C98" i="27"/>
  <c r="C9" i="27"/>
  <c r="C13" i="27"/>
  <c r="C17" i="27"/>
  <c r="C28" i="27"/>
  <c r="C44" i="27"/>
  <c r="C60" i="27"/>
  <c r="C76" i="27"/>
  <c r="C92" i="27"/>
  <c r="C14" i="27"/>
  <c r="C10" i="27"/>
  <c r="C38" i="27"/>
  <c r="C86" i="27"/>
  <c r="C30" i="27"/>
  <c r="C46" i="27"/>
  <c r="C62" i="27"/>
  <c r="C78" i="27"/>
  <c r="C94" i="27"/>
  <c r="C22" i="27"/>
  <c r="C7" i="27"/>
  <c r="C15" i="27"/>
  <c r="C36" i="27"/>
  <c r="C52" i="27"/>
  <c r="C68" i="27"/>
  <c r="C84" i="27"/>
  <c r="C100" i="27"/>
  <c r="C18" i="27"/>
  <c r="C54" i="27"/>
  <c r="C70" i="27"/>
  <c r="C102" i="27"/>
  <c r="C11" i="27"/>
  <c r="C24" i="15"/>
  <c r="C28" i="15"/>
  <c r="C32" i="15"/>
  <c r="C36" i="15"/>
  <c r="C26" i="15"/>
  <c r="C30" i="15"/>
  <c r="C34" i="15"/>
  <c r="C38" i="15"/>
  <c r="C29" i="15"/>
  <c r="C37" i="15"/>
  <c r="C42" i="15"/>
  <c r="C46" i="15"/>
  <c r="C50" i="15"/>
  <c r="C54" i="15"/>
  <c r="C58" i="15"/>
  <c r="C62" i="15"/>
  <c r="C66" i="15"/>
  <c r="C70" i="15"/>
  <c r="C74" i="15"/>
  <c r="C78" i="15"/>
  <c r="C82" i="15"/>
  <c r="C86" i="15"/>
  <c r="C90" i="15"/>
  <c r="C94" i="15"/>
  <c r="C98" i="15"/>
  <c r="C102" i="15"/>
  <c r="C8" i="15"/>
  <c r="C12" i="15"/>
  <c r="C16" i="15"/>
  <c r="C23" i="15"/>
  <c r="C31" i="15"/>
  <c r="C39" i="15"/>
  <c r="C43" i="15"/>
  <c r="C47" i="15"/>
  <c r="C51" i="15"/>
  <c r="C55" i="15"/>
  <c r="C59" i="15"/>
  <c r="C63" i="15"/>
  <c r="C67" i="15"/>
  <c r="C71" i="15"/>
  <c r="C75" i="15"/>
  <c r="C79" i="15"/>
  <c r="C83" i="15"/>
  <c r="C87" i="15"/>
  <c r="C91" i="15"/>
  <c r="C95" i="15"/>
  <c r="C99" i="15"/>
  <c r="C103" i="15"/>
  <c r="C9" i="15"/>
  <c r="C13" i="15"/>
  <c r="C17" i="15"/>
  <c r="C25" i="15"/>
  <c r="C40" i="15"/>
  <c r="C48" i="15"/>
  <c r="C56" i="15"/>
  <c r="C64" i="15"/>
  <c r="C72" i="15"/>
  <c r="C80" i="15"/>
  <c r="C88" i="15"/>
  <c r="C96" i="15"/>
  <c r="C10" i="15"/>
  <c r="C18" i="15"/>
  <c r="C33" i="15"/>
  <c r="C52" i="15"/>
  <c r="C68" i="15"/>
  <c r="C84" i="15"/>
  <c r="C100" i="15"/>
  <c r="C45" i="15"/>
  <c r="C61" i="15"/>
  <c r="C85" i="15"/>
  <c r="C101" i="15"/>
  <c r="C7" i="15"/>
  <c r="C6" i="15"/>
  <c r="C27" i="15"/>
  <c r="C41" i="15"/>
  <c r="C49" i="15"/>
  <c r="C57" i="15"/>
  <c r="C65" i="15"/>
  <c r="C73" i="15"/>
  <c r="C81" i="15"/>
  <c r="C89" i="15"/>
  <c r="C97" i="15"/>
  <c r="C11" i="15"/>
  <c r="C44" i="15"/>
  <c r="C60" i="15"/>
  <c r="C76" i="15"/>
  <c r="C92" i="15"/>
  <c r="C22" i="15"/>
  <c r="C14" i="15"/>
  <c r="C35" i="15"/>
  <c r="C53" i="15"/>
  <c r="C69" i="15"/>
  <c r="C77" i="15"/>
  <c r="C93" i="15"/>
  <c r="C15" i="15"/>
  <c r="C26" i="25"/>
  <c r="C30" i="25"/>
  <c r="C34" i="25"/>
  <c r="C38" i="25"/>
  <c r="C42" i="25"/>
  <c r="C46" i="25"/>
  <c r="C50" i="25"/>
  <c r="C54" i="25"/>
  <c r="C58" i="25"/>
  <c r="C62" i="25"/>
  <c r="C66" i="25"/>
  <c r="C70" i="25"/>
  <c r="C74" i="25"/>
  <c r="C78" i="25"/>
  <c r="C82" i="25"/>
  <c r="C86" i="25"/>
  <c r="C90" i="25"/>
  <c r="C94" i="25"/>
  <c r="C98" i="25"/>
  <c r="C102" i="25"/>
  <c r="C24" i="25"/>
  <c r="C28" i="25"/>
  <c r="C32" i="25"/>
  <c r="C36" i="25"/>
  <c r="C40" i="25"/>
  <c r="C44" i="25"/>
  <c r="C48" i="25"/>
  <c r="C52" i="25"/>
  <c r="C56" i="25"/>
  <c r="C60" i="25"/>
  <c r="C64" i="25"/>
  <c r="C68" i="25"/>
  <c r="C72" i="25"/>
  <c r="C76" i="25"/>
  <c r="C80" i="25"/>
  <c r="C84" i="25"/>
  <c r="C88" i="25"/>
  <c r="C92" i="25"/>
  <c r="C96" i="25"/>
  <c r="C100" i="25"/>
  <c r="C23" i="25"/>
  <c r="C31" i="25"/>
  <c r="C39" i="25"/>
  <c r="C47" i="25"/>
  <c r="C55" i="25"/>
  <c r="C63" i="25"/>
  <c r="C71" i="25"/>
  <c r="C79" i="25"/>
  <c r="C87" i="25"/>
  <c r="C95" i="25"/>
  <c r="C103" i="25"/>
  <c r="C22" i="25"/>
  <c r="C8" i="25"/>
  <c r="C12" i="25"/>
  <c r="C16" i="25"/>
  <c r="C25" i="25"/>
  <c r="C33" i="25"/>
  <c r="C41" i="25"/>
  <c r="C49" i="25"/>
  <c r="C57" i="25"/>
  <c r="C65" i="25"/>
  <c r="C73" i="25"/>
  <c r="C81" i="25"/>
  <c r="C89" i="25"/>
  <c r="C97" i="25"/>
  <c r="C9" i="25"/>
  <c r="C13" i="25"/>
  <c r="C17" i="25"/>
  <c r="C6" i="25"/>
  <c r="C27" i="25"/>
  <c r="C43" i="25"/>
  <c r="C59" i="25"/>
  <c r="C75" i="25"/>
  <c r="C91" i="25"/>
  <c r="C10" i="25"/>
  <c r="C18" i="25"/>
  <c r="C51" i="25"/>
  <c r="C99" i="25"/>
  <c r="C14" i="25"/>
  <c r="C37" i="25"/>
  <c r="C69" i="25"/>
  <c r="C85" i="25"/>
  <c r="C7" i="25"/>
  <c r="C15" i="25"/>
  <c r="C29" i="25"/>
  <c r="C45" i="25"/>
  <c r="C61" i="25"/>
  <c r="C77" i="25"/>
  <c r="C93" i="25"/>
  <c r="C11" i="25"/>
  <c r="C35" i="25"/>
  <c r="C67" i="25"/>
  <c r="C83" i="25"/>
  <c r="C53" i="25"/>
  <c r="C101" i="25"/>
  <c r="I36" i="25"/>
  <c r="J41" i="25"/>
  <c r="J39" i="26"/>
  <c r="J36" i="15"/>
  <c r="I41" i="26"/>
  <c r="J38" i="15"/>
  <c r="I37" i="24"/>
  <c r="B21" i="29"/>
  <c r="I33" i="24"/>
  <c r="B17" i="29"/>
  <c r="I29" i="24"/>
  <c r="B13" i="29"/>
  <c r="I38" i="24"/>
  <c r="B22" i="29"/>
  <c r="I34" i="24"/>
  <c r="B18" i="29"/>
  <c r="I30" i="24"/>
  <c r="B14" i="29"/>
  <c r="I37" i="25"/>
  <c r="I32" i="25"/>
  <c r="J40" i="15"/>
  <c r="J32" i="15"/>
  <c r="I36" i="24"/>
  <c r="B20" i="29"/>
  <c r="I32" i="24"/>
  <c r="B16" i="29"/>
  <c r="I34" i="25"/>
  <c r="J42" i="15"/>
  <c r="J34" i="15"/>
  <c r="I39" i="24"/>
  <c r="B23" i="29"/>
  <c r="I35" i="24"/>
  <c r="B19" i="29"/>
  <c r="I31" i="24"/>
  <c r="B15" i="29"/>
  <c r="J42" i="25"/>
  <c r="I38" i="26"/>
  <c r="J41" i="15"/>
  <c r="J39" i="15"/>
  <c r="J37" i="15"/>
  <c r="J35" i="15"/>
  <c r="J33" i="15"/>
  <c r="J38" i="25"/>
  <c r="J33" i="25"/>
  <c r="J42" i="26"/>
  <c r="I40" i="25"/>
  <c r="J39" i="25"/>
  <c r="J35" i="25"/>
  <c r="J31" i="25"/>
  <c r="J40" i="26"/>
  <c r="F9" i="28"/>
  <c r="F10" i="28"/>
  <c r="G14" i="28"/>
  <c r="D14" i="28"/>
  <c r="E14" i="28"/>
  <c r="C14" i="28"/>
  <c r="G12" i="28"/>
  <c r="E12" i="28"/>
  <c r="C12" i="28"/>
  <c r="D12" i="28"/>
  <c r="G13" i="28"/>
  <c r="E13" i="28"/>
  <c r="C13" i="28"/>
  <c r="D13" i="28"/>
  <c r="F12" i="28"/>
  <c r="F13" i="28"/>
  <c r="B12" i="28"/>
  <c r="F14" i="28"/>
  <c r="B13" i="28"/>
  <c r="B14" i="28"/>
  <c r="F6" i="28"/>
  <c r="I18" i="15"/>
  <c r="I17" i="15"/>
  <c r="I16" i="15"/>
  <c r="I15" i="15"/>
  <c r="I14" i="15"/>
  <c r="I13" i="15"/>
  <c r="I12" i="15"/>
  <c r="I11" i="15"/>
  <c r="I10" i="15"/>
  <c r="J42" i="24"/>
  <c r="J41" i="24"/>
  <c r="J40" i="24"/>
  <c r="J39" i="24"/>
  <c r="F23" i="29" s="1"/>
  <c r="J38" i="24"/>
  <c r="F22" i="29" s="1"/>
  <c r="J37" i="24"/>
  <c r="J36" i="24"/>
  <c r="J35" i="24"/>
  <c r="J34" i="24"/>
  <c r="J33" i="24"/>
  <c r="F12" i="29" s="1"/>
  <c r="J32" i="24"/>
  <c r="J31" i="24"/>
  <c r="J30" i="24"/>
  <c r="J29" i="24"/>
  <c r="F15" i="29" l="1"/>
  <c r="F19" i="29"/>
  <c r="F16" i="29"/>
  <c r="F20" i="29"/>
  <c r="F14" i="29"/>
  <c r="F18" i="29"/>
  <c r="F10" i="29"/>
  <c r="F11" i="29"/>
  <c r="F13" i="29"/>
  <c r="F17" i="29"/>
  <c r="F21" i="29"/>
  <c r="F8" i="29"/>
  <c r="F9" i="29"/>
  <c r="G16" i="28"/>
  <c r="E16" i="28"/>
  <c r="C16" i="28"/>
  <c r="D16" i="28"/>
  <c r="F16" i="28"/>
  <c r="B16" i="28"/>
  <c r="G17" i="28"/>
  <c r="E17" i="28"/>
  <c r="C17" i="28"/>
  <c r="D17" i="28"/>
  <c r="B17" i="28"/>
  <c r="F17" i="28"/>
  <c r="G15" i="28"/>
  <c r="D15" i="28"/>
  <c r="E15" i="28"/>
  <c r="C15" i="28"/>
  <c r="B15" i="28"/>
  <c r="F15" i="28"/>
  <c r="G19" i="28" l="1"/>
  <c r="B19" i="28"/>
  <c r="C19" i="28"/>
  <c r="D19" i="28"/>
  <c r="E19" i="28"/>
  <c r="F19" i="28"/>
  <c r="G18" i="28"/>
  <c r="D18" i="28"/>
  <c r="E18" i="28"/>
  <c r="C18" i="28"/>
  <c r="B18" i="28"/>
  <c r="F18" i="28"/>
  <c r="G20" i="28"/>
  <c r="E20" i="28"/>
  <c r="C20" i="28"/>
  <c r="D20" i="28"/>
  <c r="B20" i="28"/>
  <c r="F20" i="28"/>
  <c r="H19" i="28" l="1"/>
  <c r="G22" i="28"/>
  <c r="D22" i="28"/>
  <c r="E22" i="28"/>
  <c r="C22" i="28"/>
  <c r="B22" i="28"/>
  <c r="F22" i="28"/>
  <c r="G23" i="28"/>
  <c r="D23" i="28"/>
  <c r="E23" i="28"/>
  <c r="C23" i="28"/>
  <c r="B23" i="28"/>
  <c r="F23" i="28"/>
  <c r="G21" i="28"/>
  <c r="E21" i="28"/>
  <c r="C21" i="28"/>
  <c r="D21" i="28"/>
  <c r="B21" i="28"/>
  <c r="F21" i="28"/>
  <c r="H20" i="28" l="1"/>
  <c r="D25" i="28"/>
  <c r="B10" i="2" l="1"/>
  <c r="D18" i="2"/>
  <c r="D13" i="2"/>
  <c r="B23" i="2" s="1"/>
  <c r="B9" i="2" l="1"/>
  <c r="C21" i="2" s="1"/>
  <c r="D19" i="2"/>
  <c r="D21" i="2"/>
  <c r="B24" i="2"/>
  <c r="C14" i="2"/>
</calcChain>
</file>

<file path=xl/sharedStrings.xml><?xml version="1.0" encoding="utf-8"?>
<sst xmlns="http://schemas.openxmlformats.org/spreadsheetml/2006/main" count="1201" uniqueCount="827">
  <si>
    <t xml:space="preserve">Despatch Summary for the                     </t>
  </si>
  <si>
    <t xml:space="preserve">  (Enter date here):</t>
  </si>
  <si>
    <t>REF #</t>
  </si>
  <si>
    <t>DATE</t>
  </si>
  <si>
    <t>PO NUMBER</t>
  </si>
  <si>
    <t>DELIVERY NUMBER</t>
  </si>
  <si>
    <t>NAME</t>
  </si>
  <si>
    <t>LOCATION / TRANSPORT COMPANY</t>
  </si>
  <si>
    <t>TIMESLOT</t>
  </si>
  <si>
    <t>CUSTOMER ORDER #</t>
  </si>
  <si>
    <t>ROUTE</t>
  </si>
  <si>
    <t>FP</t>
  </si>
  <si>
    <t>CP</t>
  </si>
  <si>
    <t>TP</t>
  </si>
  <si>
    <t>L</t>
  </si>
  <si>
    <t>TC</t>
  </si>
  <si>
    <t>WGT</t>
  </si>
  <si>
    <t>SHIPMENT NUMBER</t>
  </si>
  <si>
    <t>BOOKING CODE</t>
  </si>
  <si>
    <t>TRANSPORT</t>
  </si>
  <si>
    <t>REF #:</t>
  </si>
  <si>
    <t>PLTS:     LIFTS:</t>
  </si>
  <si>
    <t>Customer:</t>
  </si>
  <si>
    <t>Date:</t>
  </si>
  <si>
    <t>Delivery:</t>
  </si>
  <si>
    <t>Shipment:</t>
  </si>
  <si>
    <t>Customer No:</t>
  </si>
  <si>
    <t>PO#:</t>
  </si>
  <si>
    <t>Booking Time:</t>
  </si>
  <si>
    <t>Booking Code:</t>
  </si>
  <si>
    <t>Reference List</t>
  </si>
  <si>
    <t>Delivery No:</t>
  </si>
  <si>
    <t>Despatch Summary from</t>
  </si>
  <si>
    <t>41397-11</t>
  </si>
  <si>
    <t>='Cover Sheet'!D23=VLOOKUP($D$5,'Despatch Summary'!$C$3:$S$5000,17,FALSE)</t>
  </si>
  <si>
    <t>LIFT:</t>
  </si>
  <si>
    <t>PLTS:</t>
  </si>
  <si>
    <t>ORIGIN.DOC</t>
  </si>
  <si>
    <t xml:space="preserve">CUSTOMER PO </t>
  </si>
  <si>
    <t>CUSTOMER NAMER</t>
  </si>
  <si>
    <t>ADDRESS</t>
  </si>
  <si>
    <t xml:space="preserve">Customer </t>
  </si>
  <si>
    <t>Address</t>
  </si>
  <si>
    <t>Postcode</t>
  </si>
  <si>
    <t>Notes</t>
  </si>
  <si>
    <t>71 COCOS DR, BIBRA LAKE</t>
  </si>
  <si>
    <t>Delivery #</t>
  </si>
  <si>
    <t>SHIPMENT #</t>
  </si>
  <si>
    <t>Timeslot</t>
  </si>
  <si>
    <t>Booking Ref</t>
  </si>
  <si>
    <t>End Customer PO#:</t>
  </si>
  <si>
    <t>CENTRAL WAREHOUSE</t>
  </si>
  <si>
    <t>CHILLER or DRY</t>
  </si>
  <si>
    <t>WE</t>
  </si>
  <si>
    <t>Time</t>
  </si>
  <si>
    <t>TBC</t>
  </si>
  <si>
    <t>VOLUME</t>
  </si>
  <si>
    <t xml:space="preserve">DATE </t>
  </si>
  <si>
    <t>CUSTOMER</t>
  </si>
  <si>
    <t>CUSTOMER ORDER No</t>
  </si>
  <si>
    <t>PLTS (EST)</t>
  </si>
  <si>
    <t>DELIVERY #</t>
  </si>
  <si>
    <t>TIME</t>
  </si>
  <si>
    <t>BOOKING</t>
  </si>
  <si>
    <t>001-1</t>
  </si>
  <si>
    <t>001-2</t>
  </si>
  <si>
    <t>001-3</t>
  </si>
  <si>
    <t>005-1</t>
  </si>
  <si>
    <t>005-3</t>
  </si>
  <si>
    <t>005-2</t>
  </si>
  <si>
    <t>005-4</t>
  </si>
  <si>
    <t>005-5</t>
  </si>
  <si>
    <t>005-6</t>
  </si>
  <si>
    <t>005-7</t>
  </si>
  <si>
    <t>005-8</t>
  </si>
  <si>
    <t>005-9</t>
  </si>
  <si>
    <t>005-10</t>
  </si>
  <si>
    <t>005-11</t>
  </si>
  <si>
    <t>001-4</t>
  </si>
  <si>
    <t>001-5</t>
  </si>
  <si>
    <t>001-6</t>
  </si>
  <si>
    <t>001-7</t>
  </si>
  <si>
    <t>001-8</t>
  </si>
  <si>
    <t>001-9</t>
  </si>
  <si>
    <t>001-10</t>
  </si>
  <si>
    <t>001-11</t>
  </si>
  <si>
    <t>001-12</t>
  </si>
  <si>
    <t>001-13</t>
  </si>
  <si>
    <t>001-14</t>
  </si>
  <si>
    <t>001-15</t>
  </si>
  <si>
    <t>001-16</t>
  </si>
  <si>
    <t>001-17</t>
  </si>
  <si>
    <t>001-18</t>
  </si>
  <si>
    <t>001-19</t>
  </si>
  <si>
    <t>001-20</t>
  </si>
  <si>
    <t>001-21</t>
  </si>
  <si>
    <t>001-22</t>
  </si>
  <si>
    <t>001-23</t>
  </si>
  <si>
    <t>001-24</t>
  </si>
  <si>
    <t>001-25</t>
  </si>
  <si>
    <t>001-26</t>
  </si>
  <si>
    <t>001-27</t>
  </si>
  <si>
    <t>001-28</t>
  </si>
  <si>
    <t>001-29</t>
  </si>
  <si>
    <t>001-30</t>
  </si>
  <si>
    <t>001-31</t>
  </si>
  <si>
    <t>001-32</t>
  </si>
  <si>
    <t>001-33</t>
  </si>
  <si>
    <t>001-34</t>
  </si>
  <si>
    <t>001-35</t>
  </si>
  <si>
    <t>001-36</t>
  </si>
  <si>
    <t>001-37</t>
  </si>
  <si>
    <t>001-38</t>
  </si>
  <si>
    <t>001-39</t>
  </si>
  <si>
    <t>001-40</t>
  </si>
  <si>
    <t>001-41</t>
  </si>
  <si>
    <t>001-42</t>
  </si>
  <si>
    <t>001-43</t>
  </si>
  <si>
    <t>001-44</t>
  </si>
  <si>
    <t>001-45</t>
  </si>
  <si>
    <t>001-46</t>
  </si>
  <si>
    <t>001-47</t>
  </si>
  <si>
    <t>001-48</t>
  </si>
  <si>
    <t>001-49</t>
  </si>
  <si>
    <t>001-50</t>
  </si>
  <si>
    <t>001-51</t>
  </si>
  <si>
    <t>001-52</t>
  </si>
  <si>
    <t>001-53</t>
  </si>
  <si>
    <t>002-1</t>
  </si>
  <si>
    <t>002-2</t>
  </si>
  <si>
    <t>002-3</t>
  </si>
  <si>
    <t>002-4</t>
  </si>
  <si>
    <t>002-5</t>
  </si>
  <si>
    <t>002-6</t>
  </si>
  <si>
    <t>002-7</t>
  </si>
  <si>
    <t>002-8</t>
  </si>
  <si>
    <t>002-9</t>
  </si>
  <si>
    <t>002-10</t>
  </si>
  <si>
    <t>002-11</t>
  </si>
  <si>
    <t>002-12</t>
  </si>
  <si>
    <t>002-13</t>
  </si>
  <si>
    <t>002-14</t>
  </si>
  <si>
    <t>002-15</t>
  </si>
  <si>
    <t>002-16</t>
  </si>
  <si>
    <t>002-17</t>
  </si>
  <si>
    <t>002-18</t>
  </si>
  <si>
    <t>002-19</t>
  </si>
  <si>
    <t>002-20</t>
  </si>
  <si>
    <t>002-21</t>
  </si>
  <si>
    <t>002-22</t>
  </si>
  <si>
    <t>002-23</t>
  </si>
  <si>
    <t>002-24</t>
  </si>
  <si>
    <t>002-25</t>
  </si>
  <si>
    <t>002-26</t>
  </si>
  <si>
    <t>002-27</t>
  </si>
  <si>
    <t>002-28</t>
  </si>
  <si>
    <t>002-29</t>
  </si>
  <si>
    <t>002-30</t>
  </si>
  <si>
    <t>002-31</t>
  </si>
  <si>
    <t>002-32</t>
  </si>
  <si>
    <t>002-33</t>
  </si>
  <si>
    <t>002-34</t>
  </si>
  <si>
    <t>002-35</t>
  </si>
  <si>
    <t>002-36</t>
  </si>
  <si>
    <t>002-37</t>
  </si>
  <si>
    <t>002-38</t>
  </si>
  <si>
    <t>002-39</t>
  </si>
  <si>
    <t>002-40</t>
  </si>
  <si>
    <t>002-41</t>
  </si>
  <si>
    <t>002-42</t>
  </si>
  <si>
    <t>002-43</t>
  </si>
  <si>
    <t>002-44</t>
  </si>
  <si>
    <t>002-45</t>
  </si>
  <si>
    <t>002-46</t>
  </si>
  <si>
    <t>002-47</t>
  </si>
  <si>
    <t>002-48</t>
  </si>
  <si>
    <t>002-49</t>
  </si>
  <si>
    <t>002-50</t>
  </si>
  <si>
    <t>002-51</t>
  </si>
  <si>
    <t>002-52</t>
  </si>
  <si>
    <t>002-53</t>
  </si>
  <si>
    <t>002-54</t>
  </si>
  <si>
    <t>002-55</t>
  </si>
  <si>
    <t>002-56</t>
  </si>
  <si>
    <t>002-57</t>
  </si>
  <si>
    <t>002-58</t>
  </si>
  <si>
    <t>002-59</t>
  </si>
  <si>
    <t>002-60</t>
  </si>
  <si>
    <t>002-61</t>
  </si>
  <si>
    <t>002-62</t>
  </si>
  <si>
    <t>002-63</t>
  </si>
  <si>
    <t>002-64</t>
  </si>
  <si>
    <t>002-65</t>
  </si>
  <si>
    <t>002-66</t>
  </si>
  <si>
    <t>002-67</t>
  </si>
  <si>
    <t>002-68</t>
  </si>
  <si>
    <t>002-69</t>
  </si>
  <si>
    <t>002-70</t>
  </si>
  <si>
    <t>002-71</t>
  </si>
  <si>
    <t>002-72</t>
  </si>
  <si>
    <t>002-73</t>
  </si>
  <si>
    <t>002-74</t>
  </si>
  <si>
    <t>002-75</t>
  </si>
  <si>
    <t>003-1</t>
  </si>
  <si>
    <t>003-2</t>
  </si>
  <si>
    <t>003-3</t>
  </si>
  <si>
    <t>003-4</t>
  </si>
  <si>
    <t>003-5</t>
  </si>
  <si>
    <t>003-6</t>
  </si>
  <si>
    <t>003-7</t>
  </si>
  <si>
    <t>003-8</t>
  </si>
  <si>
    <t>003-9</t>
  </si>
  <si>
    <t>003-10</t>
  </si>
  <si>
    <t>003-11</t>
  </si>
  <si>
    <t>003-12</t>
  </si>
  <si>
    <t>003-13</t>
  </si>
  <si>
    <t>003-14</t>
  </si>
  <si>
    <t>003-15</t>
  </si>
  <si>
    <t>003-16</t>
  </si>
  <si>
    <t>003-17</t>
  </si>
  <si>
    <t>003-18</t>
  </si>
  <si>
    <t>003-19</t>
  </si>
  <si>
    <t>003-20</t>
  </si>
  <si>
    <t>003-21</t>
  </si>
  <si>
    <t>003-22</t>
  </si>
  <si>
    <t>003-23</t>
  </si>
  <si>
    <t>003-24</t>
  </si>
  <si>
    <t>003-25</t>
  </si>
  <si>
    <t>003-26</t>
  </si>
  <si>
    <t>003-27</t>
  </si>
  <si>
    <t>003-28</t>
  </si>
  <si>
    <t>003-29</t>
  </si>
  <si>
    <t>003-30</t>
  </si>
  <si>
    <t>003-31</t>
  </si>
  <si>
    <t>003-32</t>
  </si>
  <si>
    <t>003-33</t>
  </si>
  <si>
    <t>003-34</t>
  </si>
  <si>
    <t>003-35</t>
  </si>
  <si>
    <t>003-36</t>
  </si>
  <si>
    <t>003-37</t>
  </si>
  <si>
    <t>003-38</t>
  </si>
  <si>
    <t>003-39</t>
  </si>
  <si>
    <t>003-40</t>
  </si>
  <si>
    <t>003-41</t>
  </si>
  <si>
    <t>003-42</t>
  </si>
  <si>
    <t>003-43</t>
  </si>
  <si>
    <t>003-44</t>
  </si>
  <si>
    <t>003-45</t>
  </si>
  <si>
    <t>003-46</t>
  </si>
  <si>
    <t>003-47</t>
  </si>
  <si>
    <t>003-48</t>
  </si>
  <si>
    <t>003-49</t>
  </si>
  <si>
    <t>003-50</t>
  </si>
  <si>
    <t>003-51</t>
  </si>
  <si>
    <t>003-52</t>
  </si>
  <si>
    <t>003-53</t>
  </si>
  <si>
    <t>003-54</t>
  </si>
  <si>
    <t>003-55</t>
  </si>
  <si>
    <t>003-56</t>
  </si>
  <si>
    <t>003-57</t>
  </si>
  <si>
    <t>003-58</t>
  </si>
  <si>
    <t>003-59</t>
  </si>
  <si>
    <t>003-60</t>
  </si>
  <si>
    <t>003-61</t>
  </si>
  <si>
    <t>003-62</t>
  </si>
  <si>
    <t>003-63</t>
  </si>
  <si>
    <t>003-64</t>
  </si>
  <si>
    <t>003-65</t>
  </si>
  <si>
    <t>003-66</t>
  </si>
  <si>
    <t>003-67</t>
  </si>
  <si>
    <t>003-68</t>
  </si>
  <si>
    <t>003-69</t>
  </si>
  <si>
    <t>003-70</t>
  </si>
  <si>
    <t>003-71</t>
  </si>
  <si>
    <t>003-72</t>
  </si>
  <si>
    <t>003-73</t>
  </si>
  <si>
    <t>003-74</t>
  </si>
  <si>
    <t>003-75</t>
  </si>
  <si>
    <t>003-76</t>
  </si>
  <si>
    <t>003-77</t>
  </si>
  <si>
    <t>003-78</t>
  </si>
  <si>
    <t>003-79</t>
  </si>
  <si>
    <t>003-80</t>
  </si>
  <si>
    <t>003-81</t>
  </si>
  <si>
    <t>003-82</t>
  </si>
  <si>
    <t>003-83</t>
  </si>
  <si>
    <t>003-84</t>
  </si>
  <si>
    <t>003-85</t>
  </si>
  <si>
    <t>003-86</t>
  </si>
  <si>
    <t>003-87</t>
  </si>
  <si>
    <t>003-88</t>
  </si>
  <si>
    <t>003-89</t>
  </si>
  <si>
    <t>003-90</t>
  </si>
  <si>
    <t>003-91</t>
  </si>
  <si>
    <t>003-92</t>
  </si>
  <si>
    <t>003-93</t>
  </si>
  <si>
    <t>003-94</t>
  </si>
  <si>
    <t>003-95</t>
  </si>
  <si>
    <t>004-1</t>
  </si>
  <si>
    <t>004-2</t>
  </si>
  <si>
    <t>004-3</t>
  </si>
  <si>
    <t>004-4</t>
  </si>
  <si>
    <t>004-5</t>
  </si>
  <si>
    <t>004-6</t>
  </si>
  <si>
    <t>004-7</t>
  </si>
  <si>
    <t>004-8</t>
  </si>
  <si>
    <t>004-9</t>
  </si>
  <si>
    <t>004-10</t>
  </si>
  <si>
    <t>004-11</t>
  </si>
  <si>
    <t>004-12</t>
  </si>
  <si>
    <t>004-13</t>
  </si>
  <si>
    <t>004-14</t>
  </si>
  <si>
    <t>004-15</t>
  </si>
  <si>
    <t>004-16</t>
  </si>
  <si>
    <t>004-17</t>
  </si>
  <si>
    <t>004-18</t>
  </si>
  <si>
    <t>004-19</t>
  </si>
  <si>
    <t>004-20</t>
  </si>
  <si>
    <t>004-21</t>
  </si>
  <si>
    <t>004-22</t>
  </si>
  <si>
    <t>004-23</t>
  </si>
  <si>
    <t>004-24</t>
  </si>
  <si>
    <t>004-25</t>
  </si>
  <si>
    <t>004-26</t>
  </si>
  <si>
    <t>004-27</t>
  </si>
  <si>
    <t>004-28</t>
  </si>
  <si>
    <t>004-29</t>
  </si>
  <si>
    <t>004-30</t>
  </si>
  <si>
    <t>004-31</t>
  </si>
  <si>
    <t>004-32</t>
  </si>
  <si>
    <t>004-33</t>
  </si>
  <si>
    <t>004-34</t>
  </si>
  <si>
    <t>004-35</t>
  </si>
  <si>
    <t>004-36</t>
  </si>
  <si>
    <t>004-37</t>
  </si>
  <si>
    <t>004-38</t>
  </si>
  <si>
    <t>004-39</t>
  </si>
  <si>
    <t>004-40</t>
  </si>
  <si>
    <t>004-41</t>
  </si>
  <si>
    <t>004-42</t>
  </si>
  <si>
    <t>004-43</t>
  </si>
  <si>
    <t>004-44</t>
  </si>
  <si>
    <t>004-45</t>
  </si>
  <si>
    <t>004-46</t>
  </si>
  <si>
    <t>004-47</t>
  </si>
  <si>
    <t>004-48</t>
  </si>
  <si>
    <t>004-49</t>
  </si>
  <si>
    <t>004-50</t>
  </si>
  <si>
    <t>004-51</t>
  </si>
  <si>
    <t>004-52</t>
  </si>
  <si>
    <t>004-53</t>
  </si>
  <si>
    <t>004-54</t>
  </si>
  <si>
    <t>004-55</t>
  </si>
  <si>
    <t>004-56</t>
  </si>
  <si>
    <t>004-57</t>
  </si>
  <si>
    <t>004-58</t>
  </si>
  <si>
    <t>004-59</t>
  </si>
  <si>
    <t>004-60</t>
  </si>
  <si>
    <t>004-61</t>
  </si>
  <si>
    <t>004-62</t>
  </si>
  <si>
    <t>004-63</t>
  </si>
  <si>
    <t>004-64</t>
  </si>
  <si>
    <t>004-65</t>
  </si>
  <si>
    <t>004-66</t>
  </si>
  <si>
    <t>004-67</t>
  </si>
  <si>
    <t>004-68</t>
  </si>
  <si>
    <t>004-69</t>
  </si>
  <si>
    <t>004-70</t>
  </si>
  <si>
    <t>004-71</t>
  </si>
  <si>
    <t>004-72</t>
  </si>
  <si>
    <t>004-73</t>
  </si>
  <si>
    <t>004-74</t>
  </si>
  <si>
    <t>004-75</t>
  </si>
  <si>
    <t>004-76</t>
  </si>
  <si>
    <t>004-77</t>
  </si>
  <si>
    <t>004-78</t>
  </si>
  <si>
    <t>004-79</t>
  </si>
  <si>
    <t>004-80</t>
  </si>
  <si>
    <t>004-81</t>
  </si>
  <si>
    <t>004-82</t>
  </si>
  <si>
    <t>004-83</t>
  </si>
  <si>
    <t>004-84</t>
  </si>
  <si>
    <t>004-85</t>
  </si>
  <si>
    <t>004-86</t>
  </si>
  <si>
    <t>004-87</t>
  </si>
  <si>
    <t>004-88</t>
  </si>
  <si>
    <t>004-89</t>
  </si>
  <si>
    <t>004-90</t>
  </si>
  <si>
    <t>004-91</t>
  </si>
  <si>
    <t>004-92</t>
  </si>
  <si>
    <t>004-93</t>
  </si>
  <si>
    <t>004-94</t>
  </si>
  <si>
    <t>004-95</t>
  </si>
  <si>
    <t>005-12</t>
  </si>
  <si>
    <t>005-13</t>
  </si>
  <si>
    <t>005-14</t>
  </si>
  <si>
    <t>005-15</t>
  </si>
  <si>
    <t>005-16</t>
  </si>
  <si>
    <t>005-17</t>
  </si>
  <si>
    <t>005-18</t>
  </si>
  <si>
    <t>005-19</t>
  </si>
  <si>
    <t>005-20</t>
  </si>
  <si>
    <t>005-21</t>
  </si>
  <si>
    <t>005-22</t>
  </si>
  <si>
    <t>005-23</t>
  </si>
  <si>
    <t>005-24</t>
  </si>
  <si>
    <t>005-25</t>
  </si>
  <si>
    <t>005-26</t>
  </si>
  <si>
    <t>005-27</t>
  </si>
  <si>
    <t>005-28</t>
  </si>
  <si>
    <t>005-29</t>
  </si>
  <si>
    <t>005-30</t>
  </si>
  <si>
    <t>005-31</t>
  </si>
  <si>
    <t>005-32</t>
  </si>
  <si>
    <t>005-33</t>
  </si>
  <si>
    <t>005-34</t>
  </si>
  <si>
    <t>005-35</t>
  </si>
  <si>
    <t>005-36</t>
  </si>
  <si>
    <t>005-37</t>
  </si>
  <si>
    <t>005-38</t>
  </si>
  <si>
    <t>005-39</t>
  </si>
  <si>
    <t>005-40</t>
  </si>
  <si>
    <t>005-41</t>
  </si>
  <si>
    <t>005-42</t>
  </si>
  <si>
    <t>005-43</t>
  </si>
  <si>
    <t>005-44</t>
  </si>
  <si>
    <t>005-45</t>
  </si>
  <si>
    <t>005-46</t>
  </si>
  <si>
    <t>005-47</t>
  </si>
  <si>
    <t>005-48</t>
  </si>
  <si>
    <t>005-49</t>
  </si>
  <si>
    <t>005-50</t>
  </si>
  <si>
    <t>005-51</t>
  </si>
  <si>
    <t>005-52</t>
  </si>
  <si>
    <t>005-53</t>
  </si>
  <si>
    <t>005-54</t>
  </si>
  <si>
    <t>005-55</t>
  </si>
  <si>
    <t>005-56</t>
  </si>
  <si>
    <t>005-57</t>
  </si>
  <si>
    <t>005-58</t>
  </si>
  <si>
    <t>005-59</t>
  </si>
  <si>
    <t>005-60</t>
  </si>
  <si>
    <t>005-61</t>
  </si>
  <si>
    <t>005-62</t>
  </si>
  <si>
    <t>005-63</t>
  </si>
  <si>
    <t>005-64</t>
  </si>
  <si>
    <t>005-65</t>
  </si>
  <si>
    <t>005-66</t>
  </si>
  <si>
    <t>005-67</t>
  </si>
  <si>
    <t>005-68</t>
  </si>
  <si>
    <t>005-69</t>
  </si>
  <si>
    <t>005-70</t>
  </si>
  <si>
    <t>005-71</t>
  </si>
  <si>
    <t>005-72</t>
  </si>
  <si>
    <t>005-73</t>
  </si>
  <si>
    <t>005-74</t>
  </si>
  <si>
    <t>005-75</t>
  </si>
  <si>
    <t>005-76</t>
  </si>
  <si>
    <t>005-77</t>
  </si>
  <si>
    <t>005-78</t>
  </si>
  <si>
    <t>005-79</t>
  </si>
  <si>
    <t>005-80</t>
  </si>
  <si>
    <t>005-81</t>
  </si>
  <si>
    <t>005-82</t>
  </si>
  <si>
    <t>005-83</t>
  </si>
  <si>
    <t>005-84</t>
  </si>
  <si>
    <t>005-85</t>
  </si>
  <si>
    <t>005-86</t>
  </si>
  <si>
    <t>005-87</t>
  </si>
  <si>
    <t>005-88</t>
  </si>
  <si>
    <t>005-89</t>
  </si>
  <si>
    <t>005-90</t>
  </si>
  <si>
    <t>005-91</t>
  </si>
  <si>
    <t>005-92</t>
  </si>
  <si>
    <t>005-93</t>
  </si>
  <si>
    <t>005-94</t>
  </si>
  <si>
    <t>MONDAY</t>
  </si>
  <si>
    <t>TUESDAY</t>
  </si>
  <si>
    <t>WEDNESDAY</t>
  </si>
  <si>
    <t>THURSDAY</t>
  </si>
  <si>
    <t>FRIDAY</t>
  </si>
  <si>
    <t>DROP DOWN LIST</t>
  </si>
  <si>
    <t>CHANGE WE DATE</t>
  </si>
  <si>
    <t>CH</t>
  </si>
  <si>
    <t>DRY</t>
  </si>
  <si>
    <t>ASALEO</t>
  </si>
  <si>
    <t>SMALLS</t>
  </si>
  <si>
    <t>PAL</t>
  </si>
  <si>
    <t>Asaleo No:</t>
  </si>
  <si>
    <t>Bunzl Outsourcing Serv Perth</t>
  </si>
  <si>
    <t>Complete Office Supplies Perth</t>
  </si>
  <si>
    <t>FPA Australia Pty Ltd</t>
  </si>
  <si>
    <t>Grocery Holdings Perth</t>
  </si>
  <si>
    <t>Hisco P/L ATF Hisco Unit Trust</t>
  </si>
  <si>
    <t>Independence Australia  WA</t>
  </si>
  <si>
    <t>K Mart WA DC 9601 Canning Vale</t>
  </si>
  <si>
    <t>Prestige Products-Rapid</t>
  </si>
  <si>
    <t>Repco Limited WA</t>
  </si>
  <si>
    <t>Symbion Health WA</t>
  </si>
  <si>
    <t>The Goods</t>
  </si>
  <si>
    <t>Woolworths Perth Rdc-Ambient</t>
  </si>
  <si>
    <t>48 Luisini Rd, WANGARA</t>
  </si>
  <si>
    <t>151 Mulgul Rd, MALAGA</t>
  </si>
  <si>
    <t>136 Horrie Miller Drive, PERTH AIRPORT</t>
  </si>
  <si>
    <t>10B Marriott Rd, JANDAKOT</t>
  </si>
  <si>
    <t>139 Balcatta Road, BALCATTA</t>
  </si>
  <si>
    <t>3 Sparton St, JANDAKOT</t>
  </si>
  <si>
    <t>13 - 39 Pilbara St, WELSHPOOL</t>
  </si>
  <si>
    <t>Abernethy Rd, KEWDALE</t>
  </si>
  <si>
    <t>18 Fisher St, BELMONT</t>
  </si>
  <si>
    <t>20-60 Colquhoun Rd, PERTH AIRPORT</t>
  </si>
  <si>
    <t>IGA Distribution (WA) Canning Vale</t>
  </si>
  <si>
    <t>218 BANNISTER ROAD, CANNING VALE</t>
  </si>
  <si>
    <t>8:30 - 14:00</t>
  </si>
  <si>
    <t>API Perth DC 9605</t>
  </si>
  <si>
    <t>CH2  WA</t>
  </si>
  <si>
    <t>Bidfood Foodlink</t>
  </si>
  <si>
    <t>FACILITY 2, 271 BERKSHIRE RD, FORRESTFIELD</t>
  </si>
  <si>
    <t>8:00 - 17:00</t>
  </si>
  <si>
    <t>8:00 - 13:00</t>
  </si>
  <si>
    <t>Blackwoods Canningvale</t>
  </si>
  <si>
    <t>35-39 Baile Rd, CANNINGVALE</t>
  </si>
  <si>
    <t>John S Hayes WA</t>
  </si>
  <si>
    <t>32 Distinction Road, WANGARRA</t>
  </si>
  <si>
    <t>Martin-Brower Australia Pty Ltd - W</t>
  </si>
  <si>
    <t>40 Solomon Road, BANJUP</t>
  </si>
  <si>
    <t>OfficeMax Australia Belmont</t>
  </si>
  <si>
    <t>9 Ulm Place, PERTH AIRPORT</t>
  </si>
  <si>
    <t>Officeworks WA (CFC969)</t>
  </si>
  <si>
    <t xml:space="preserve">Cnr Grogan &amp; Affleck Roads, Perth Airport </t>
  </si>
  <si>
    <t>PFD Banjup</t>
  </si>
  <si>
    <t>Reward Distribution Perth</t>
  </si>
  <si>
    <t>8 Tacoma Circ, CANNING VALE</t>
  </si>
  <si>
    <t>Statewide Cleaning Supplies Pty Ltd</t>
  </si>
  <si>
    <t xml:space="preserve">39 Frobisher St, OSBORNE PARK </t>
  </si>
  <si>
    <t>Winc Australia - Kewdale</t>
  </si>
  <si>
    <t>26 Miles Rd, KEWDALE</t>
  </si>
  <si>
    <t>Toll West</t>
  </si>
  <si>
    <t>Hungry Jack's WA</t>
  </si>
  <si>
    <t>Sands Metro Refrigerated Dist P/L</t>
  </si>
  <si>
    <t>Jasol Australia (Wa)</t>
  </si>
  <si>
    <t>131 Garling St, O'CONNOR</t>
  </si>
  <si>
    <t>Bidfood Perth</t>
  </si>
  <si>
    <t>24 Selkis Road, BIBRA LAKE</t>
  </si>
  <si>
    <t>ABCO Products Pty Ltd</t>
  </si>
  <si>
    <t xml:space="preserve">44 John St, BENTLEY </t>
  </si>
  <si>
    <t>Foodland Canning Vale Cash &amp; Carry</t>
  </si>
  <si>
    <t>Dock 26 /  6 Baile St, CANNING VALE</t>
  </si>
  <si>
    <t>Lombard The Paper People WA</t>
  </si>
  <si>
    <t>22A 1490 Albany Hwy, CANNINGTON</t>
  </si>
  <si>
    <t>Woolworths Perth Rdc-Ambient-Tork</t>
  </si>
  <si>
    <t>Sigma WA</t>
  </si>
  <si>
    <t>6 Hubert St, BELMONT</t>
  </si>
  <si>
    <t>Kailis Bros Pty Ltd</t>
  </si>
  <si>
    <t>57-59 Wittenberg Dr, CANNING VALE</t>
  </si>
  <si>
    <t>Milestone Chemicals Australia Pty</t>
  </si>
  <si>
    <t xml:space="preserve">Unit 2 / 15 Milford Street, EAST VICTORIA PARK </t>
  </si>
  <si>
    <t>Southway Distributors Albany</t>
  </si>
  <si>
    <t>VIA SANDS FRIDGELINES, FORRESTFIELD</t>
  </si>
  <si>
    <t>6AM</t>
  </si>
  <si>
    <t>CUSTOMER NAME</t>
  </si>
  <si>
    <t>Beyond Paper, C/- Bars &amp; More</t>
  </si>
  <si>
    <t>Unit 2, 15 Milford Street, EAST VICTORIA PARK</t>
  </si>
  <si>
    <t>I.V.R. Sales Agency</t>
  </si>
  <si>
    <t>Unit 2, 4 Gary Road, Maddington</t>
  </si>
  <si>
    <t>8:00-10:00</t>
  </si>
  <si>
    <t>Cleanpak Total Solutions</t>
  </si>
  <si>
    <t>9 Industry St, MALAGA</t>
  </si>
  <si>
    <t>Eastway Food Supplies Pty Ltd</t>
  </si>
  <si>
    <t>Lot 11 Duff St East, MERREDIN, WA, 6415</t>
  </si>
  <si>
    <t>Sinwa Australia Pty Limited</t>
  </si>
  <si>
    <t>39 Jessie Lee St, HENDERSON</t>
  </si>
  <si>
    <t>Kailis Bros Canningvale</t>
  </si>
  <si>
    <t>(KIMBERLEY MARKETING) 14 Kingsford Smith Drive PERTH AIRPORT</t>
  </si>
  <si>
    <t>6:00am</t>
  </si>
  <si>
    <t>CW Management WA DC</t>
  </si>
  <si>
    <t>22 Hyme Rd, South Guildford</t>
  </si>
  <si>
    <t>Huhtamaki Tailored Packaging (WA)</t>
  </si>
  <si>
    <t>505 Abernethy Rd, Kewdale</t>
  </si>
  <si>
    <t>Lorlaine Distributors Pty Ltd-Rapid</t>
  </si>
  <si>
    <t>South Coast Food Service</t>
  </si>
  <si>
    <t>ALDI Stores Ltd Jandakot</t>
  </si>
  <si>
    <t>21 Orion Rd, JANDAKOT</t>
  </si>
  <si>
    <t>Statewide Cleaning Supplies Pty</t>
  </si>
  <si>
    <t>39 Frobisher St,OSBORNE PARK</t>
  </si>
  <si>
    <t>Perth Fleet Presentation</t>
  </si>
  <si>
    <t>Hangar 306 Fauntleroy Avenue, PERTH</t>
  </si>
  <si>
    <t>Parrys Merchants</t>
  </si>
  <si>
    <t>VIA CENTURION TRANSPORT</t>
  </si>
  <si>
    <t>Lot 1965 Anderson Road</t>
  </si>
  <si>
    <t>Symbion Health WA - PG</t>
  </si>
  <si>
    <t>493 Abernethy Rd, KEWDALE</t>
  </si>
  <si>
    <t>WRS Orora  WA</t>
  </si>
  <si>
    <t>45 Distinction Road, WANGARA</t>
  </si>
  <si>
    <t>Foodland Balcatta Cash &amp; Carry</t>
  </si>
  <si>
    <t>8 Geddes St</t>
  </si>
  <si>
    <t>Sanmar a division of Signet</t>
  </si>
  <si>
    <t>15 Barker St, BELMONT</t>
  </si>
  <si>
    <t>Ebos Group Pty Ltd NSW</t>
  </si>
  <si>
    <t>2/3 Ernest Clark Road, CANNING VALE</t>
  </si>
  <si>
    <t>8:00 - 12:30</t>
  </si>
  <si>
    <t>10:00-12:00</t>
  </si>
  <si>
    <t>Craven Foods</t>
  </si>
  <si>
    <t>Via Southwest Express. 68-74 Pools ST, Welshpool</t>
  </si>
  <si>
    <t>Supermarkets West Pty Ltd</t>
  </si>
  <si>
    <t>Shed 4 342 Armadale Road, BANJUP</t>
  </si>
  <si>
    <t>The Reject Shop Ltd Hazelmere DC</t>
  </si>
  <si>
    <t xml:space="preserve">23 Ulm Place, PERTH AIRPORT </t>
  </si>
  <si>
    <t>Propac Packaging (AUST) Pty Ltd</t>
  </si>
  <si>
    <t>20 Baile Road, CANNING VALE</t>
  </si>
  <si>
    <t>Gate 1, 23 Catalano Road, CANNING VALE</t>
  </si>
  <si>
    <t>Qantas Freight</t>
  </si>
  <si>
    <t>Ross Drive and Boud Avenue, PERTH AIRPORT</t>
  </si>
  <si>
    <t>9:00-12:00</t>
  </si>
  <si>
    <t>ASALEO REF#</t>
  </si>
  <si>
    <t>CSE</t>
  </si>
  <si>
    <t>8:30 - 14:30</t>
  </si>
  <si>
    <t>Sigma  Canning Vale</t>
  </si>
  <si>
    <t>10 Craft St, CANNING VALE</t>
  </si>
  <si>
    <t>Metwood Australia Pty Ltd</t>
  </si>
  <si>
    <t>55 Nardine Close, HIGH WYCOMBE</t>
  </si>
  <si>
    <t>9:00 - 15:00</t>
  </si>
  <si>
    <t>7:30 - 16:00</t>
  </si>
  <si>
    <t>Surgical House</t>
  </si>
  <si>
    <t>46 King Edward Rd, OSBORNE PARK</t>
  </si>
  <si>
    <t>Leewin Transport, Unit 2 / 7 Modal Crescent, CANNING VALE</t>
  </si>
  <si>
    <t>MBL Food Services</t>
  </si>
  <si>
    <t>3 - 5 Vulcan Road, CANNING VALE</t>
  </si>
  <si>
    <t>Atom Supply</t>
  </si>
  <si>
    <t>11 - 15 Mackay Street, KEWDALE</t>
  </si>
  <si>
    <t>B4 10:30</t>
  </si>
  <si>
    <t>Penny McGann - 0448 928 600</t>
  </si>
  <si>
    <t>A017/197 Beechboro Road North, Embleton</t>
  </si>
  <si>
    <t>Helen Gerards DC pick up</t>
  </si>
  <si>
    <t>Pickup</t>
  </si>
  <si>
    <t>Samples TPH WA 4523000 438302</t>
  </si>
  <si>
    <t>Propac Packaging (AUST) Pty Ltd WA</t>
  </si>
  <si>
    <t>Asaleo Personal Care Som DC</t>
  </si>
  <si>
    <t>80 Stanley Dr, SOMERTON - VIC</t>
  </si>
  <si>
    <t xml:space="preserve"> 53' Rail</t>
  </si>
  <si>
    <t>Asaleo Personal Care NSW DC</t>
  </si>
  <si>
    <t>Building C2 1-107 Erskine Park Rd, ERSKINE PARK - NSW</t>
  </si>
  <si>
    <t>48' Rail</t>
  </si>
  <si>
    <t>Briskleen Supplies Pty Ltd</t>
  </si>
  <si>
    <t>36- 38 Mulgul Road, Malaga 6090</t>
  </si>
  <si>
    <t>8:00 - 16:00</t>
  </si>
  <si>
    <t>DHL S/Chain (Aust) PER  Sorbent</t>
  </si>
  <si>
    <t>18 Baile Rd, CANNING VALE</t>
  </si>
  <si>
    <t>**PICK UP** Sarah Ridley</t>
  </si>
  <si>
    <t>Surepak Pty Ltd Canning Vale</t>
  </si>
  <si>
    <t>10 Oban Link, CANNING VALE</t>
  </si>
  <si>
    <t>Central Healthcare Services P/L</t>
  </si>
  <si>
    <t>Door 15, 10 Craft Street, CANNING VALE</t>
  </si>
  <si>
    <t>Workplace Supplies</t>
  </si>
  <si>
    <t>3 Beete St, WELSHPOOL</t>
  </si>
  <si>
    <t>006-1</t>
  </si>
  <si>
    <t>006-2</t>
  </si>
  <si>
    <t>006-3</t>
  </si>
  <si>
    <t>006-4</t>
  </si>
  <si>
    <t>006-5</t>
  </si>
  <si>
    <t>006-6</t>
  </si>
  <si>
    <t>006-7</t>
  </si>
  <si>
    <t>006-8</t>
  </si>
  <si>
    <t>006-9</t>
  </si>
  <si>
    <t>006-10</t>
  </si>
  <si>
    <t>006-11</t>
  </si>
  <si>
    <t>006-12</t>
  </si>
  <si>
    <t>006-13</t>
  </si>
  <si>
    <t>006-14</t>
  </si>
  <si>
    <t>006-15</t>
  </si>
  <si>
    <t>006-16</t>
  </si>
  <si>
    <t>006-17</t>
  </si>
  <si>
    <t>006-18</t>
  </si>
  <si>
    <t>006-19</t>
  </si>
  <si>
    <t>006-20</t>
  </si>
  <si>
    <t>006-21</t>
  </si>
  <si>
    <t>006-22</t>
  </si>
  <si>
    <t>006-23</t>
  </si>
  <si>
    <t>006-24</t>
  </si>
  <si>
    <t>006-25</t>
  </si>
  <si>
    <t>006-26</t>
  </si>
  <si>
    <t>006-27</t>
  </si>
  <si>
    <t>006-28</t>
  </si>
  <si>
    <t>006-29</t>
  </si>
  <si>
    <t>006-30</t>
  </si>
  <si>
    <t>006-31</t>
  </si>
  <si>
    <t>006-32</t>
  </si>
  <si>
    <t>006-33</t>
  </si>
  <si>
    <t>006-34</t>
  </si>
  <si>
    <t>006-35</t>
  </si>
  <si>
    <t>006-36</t>
  </si>
  <si>
    <t>006-37</t>
  </si>
  <si>
    <t>006-38</t>
  </si>
  <si>
    <t>006-39</t>
  </si>
  <si>
    <t>006-40</t>
  </si>
  <si>
    <t>006-41</t>
  </si>
  <si>
    <t>006-42</t>
  </si>
  <si>
    <t>006-43</t>
  </si>
  <si>
    <t>006-44</t>
  </si>
  <si>
    <t>006-45</t>
  </si>
  <si>
    <t>006-46</t>
  </si>
  <si>
    <t>006-47</t>
  </si>
  <si>
    <t>006-48</t>
  </si>
  <si>
    <t>006-49</t>
  </si>
  <si>
    <t>006-50</t>
  </si>
  <si>
    <t>006-51</t>
  </si>
  <si>
    <t>006-52</t>
  </si>
  <si>
    <t>006-53</t>
  </si>
  <si>
    <t>006-54</t>
  </si>
  <si>
    <t>006-55</t>
  </si>
  <si>
    <t>006-56</t>
  </si>
  <si>
    <t>006-57</t>
  </si>
  <si>
    <t>006-58</t>
  </si>
  <si>
    <t>006-59</t>
  </si>
  <si>
    <t>006-60</t>
  </si>
  <si>
    <t>006-61</t>
  </si>
  <si>
    <t>006-62</t>
  </si>
  <si>
    <t>006-63</t>
  </si>
  <si>
    <t>006-64</t>
  </si>
  <si>
    <t>006-65</t>
  </si>
  <si>
    <t>006-66</t>
  </si>
  <si>
    <t>006-67</t>
  </si>
  <si>
    <t>006-68</t>
  </si>
  <si>
    <t>006-69</t>
  </si>
  <si>
    <t>006-70</t>
  </si>
  <si>
    <t>006-71</t>
  </si>
  <si>
    <t>006-72</t>
  </si>
  <si>
    <t>006-73</t>
  </si>
  <si>
    <t>006-74</t>
  </si>
  <si>
    <t>006-75</t>
  </si>
  <si>
    <t>006-76</t>
  </si>
  <si>
    <t>006-77</t>
  </si>
  <si>
    <t>006-78</t>
  </si>
  <si>
    <t>006-79</t>
  </si>
  <si>
    <t>006-80</t>
  </si>
  <si>
    <t>006-81</t>
  </si>
  <si>
    <t>006-82</t>
  </si>
  <si>
    <t>006-83</t>
  </si>
  <si>
    <t>006-84</t>
  </si>
  <si>
    <t>006-85</t>
  </si>
  <si>
    <t>006-86</t>
  </si>
  <si>
    <t>006-87</t>
  </si>
  <si>
    <t>006-88</t>
  </si>
  <si>
    <t>006-89</t>
  </si>
  <si>
    <t>006-90</t>
  </si>
  <si>
    <t>006-91</t>
  </si>
  <si>
    <t>006-92</t>
  </si>
  <si>
    <t>006-93</t>
  </si>
  <si>
    <t>006-94</t>
  </si>
  <si>
    <t>006-95</t>
  </si>
  <si>
    <t>162 Talbot Road, Hazelmere</t>
  </si>
  <si>
    <t>Coles Express Hazelmere</t>
  </si>
  <si>
    <t>001-54</t>
  </si>
  <si>
    <t>001-55</t>
  </si>
  <si>
    <t>001-56</t>
  </si>
  <si>
    <t>001-57</t>
  </si>
  <si>
    <t>001-58</t>
  </si>
  <si>
    <t>001-59</t>
  </si>
  <si>
    <t>001-60</t>
  </si>
  <si>
    <t>001-61</t>
  </si>
  <si>
    <t>001-62</t>
  </si>
  <si>
    <t>001-63</t>
  </si>
  <si>
    <t>001-64</t>
  </si>
  <si>
    <t>001-65</t>
  </si>
  <si>
    <t>001-66</t>
  </si>
  <si>
    <t>001-67</t>
  </si>
  <si>
    <t>001-68</t>
  </si>
  <si>
    <t>001-69</t>
  </si>
  <si>
    <t>001-70</t>
  </si>
  <si>
    <t>001-71</t>
  </si>
  <si>
    <t>001-72</t>
  </si>
  <si>
    <t>001-73</t>
  </si>
  <si>
    <t>001-74</t>
  </si>
  <si>
    <t>001-75</t>
  </si>
  <si>
    <t>001-76</t>
  </si>
  <si>
    <t>001-77</t>
  </si>
  <si>
    <t>001-78</t>
  </si>
  <si>
    <t>001-79</t>
  </si>
  <si>
    <t>001-80</t>
  </si>
  <si>
    <t>001-81</t>
  </si>
  <si>
    <t>001-82</t>
  </si>
  <si>
    <t>001-83</t>
  </si>
  <si>
    <t>001-84</t>
  </si>
  <si>
    <t>001-85</t>
  </si>
  <si>
    <t>001-86</t>
  </si>
  <si>
    <t>001-87</t>
  </si>
  <si>
    <t>001-88</t>
  </si>
  <si>
    <t>001-89</t>
  </si>
  <si>
    <t>001-90</t>
  </si>
  <si>
    <t>001-91</t>
  </si>
  <si>
    <t>001-92</t>
  </si>
  <si>
    <t>001-93</t>
  </si>
  <si>
    <t>001-94</t>
  </si>
  <si>
    <t>001-95</t>
  </si>
  <si>
    <t>002-76</t>
  </si>
  <si>
    <t>002-77</t>
  </si>
  <si>
    <t>002-78</t>
  </si>
  <si>
    <t>002-79</t>
  </si>
  <si>
    <t>002-80</t>
  </si>
  <si>
    <t>002-81</t>
  </si>
  <si>
    <t>002-82</t>
  </si>
  <si>
    <t>002-83</t>
  </si>
  <si>
    <t>002-84</t>
  </si>
  <si>
    <t>002-85</t>
  </si>
  <si>
    <t>002-86</t>
  </si>
  <si>
    <t>002-87</t>
  </si>
  <si>
    <t>002-88</t>
  </si>
  <si>
    <t>002-89</t>
  </si>
  <si>
    <t>002-90</t>
  </si>
  <si>
    <t>002-91</t>
  </si>
  <si>
    <t>002-92</t>
  </si>
  <si>
    <t>002-93</t>
  </si>
  <si>
    <t>002-94</t>
  </si>
  <si>
    <t>002-95</t>
  </si>
  <si>
    <t>Costco Perth Warehouse</t>
  </si>
  <si>
    <t>142 Dunreath Drive, Perth Airport</t>
  </si>
  <si>
    <t>G Bishops Transport Services Pty L</t>
  </si>
  <si>
    <t>21 Carolyn Way, Forrestfield</t>
  </si>
  <si>
    <t>Cape Abilities</t>
  </si>
  <si>
    <t>Pick up</t>
  </si>
  <si>
    <t>via Camtran</t>
  </si>
  <si>
    <t>xxxx</t>
  </si>
  <si>
    <t>10 Hugh Edwards Drive, PERTH AIRPORT</t>
  </si>
  <si>
    <t>Costco Perth Depot</t>
  </si>
  <si>
    <t>316 Bushmead Road, Hazelmere WA</t>
  </si>
  <si>
    <t>Bunzl Australia Jandakoot</t>
  </si>
  <si>
    <t xml:space="preserve">15 Orion Road, JANDAKOT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</si>
</sst>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h:mm:ss;@"/>
    <numFmt numFmtId="166" formatCode="[$-C09]dd\-mmm\-yy;@"/>
    <numFmt numFmtId="167" formatCode="0;;;@"/>
    <numFmt numFmtId="168" formatCode="dddd"/>
    <numFmt numFmtId="169" formatCode="hh:mm"/>
    <numFmt numFmtId="170" formatCode="ddd\,\ dd\ mmm\ yyyy"/>
  </numFmts>
  <fonts count="7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30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4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48"/>
      <name val="Arial"/>
      <family val="2"/>
    </font>
    <font>
      <sz val="20"/>
      <name val="Arial"/>
      <family val="2"/>
    </font>
    <font>
      <u/>
      <sz val="20"/>
      <name val="Arial Black"/>
      <family val="2"/>
    </font>
    <font>
      <b/>
      <sz val="26"/>
      <name val="Arial"/>
      <family val="2"/>
    </font>
    <font>
      <sz val="28"/>
      <name val="Arial Black"/>
      <family val="2"/>
    </font>
    <font>
      <sz val="20"/>
      <name val="Arial Black"/>
      <family val="2"/>
    </font>
    <font>
      <sz val="24"/>
      <name val="Arial Black"/>
      <family val="2"/>
    </font>
    <font>
      <sz val="28"/>
      <name val="Arial"/>
      <family val="2"/>
    </font>
    <font>
      <b/>
      <sz val="26"/>
      <color indexed="10"/>
      <name val="Arial"/>
      <family val="2"/>
    </font>
    <font>
      <b/>
      <u/>
      <sz val="20"/>
      <name val="Arial Black"/>
      <family val="2"/>
    </font>
    <font>
      <b/>
      <i/>
      <sz val="26"/>
      <color indexed="10"/>
      <name val="Arial"/>
      <family val="2"/>
    </font>
    <font>
      <b/>
      <sz val="36"/>
      <name val="Arial"/>
      <family val="2"/>
    </font>
    <font>
      <b/>
      <sz val="24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8"/>
      <color rgb="FFFF0000"/>
      <name val="Arial"/>
      <family val="2"/>
    </font>
    <font>
      <sz val="11"/>
      <color rgb="FF0061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26"/>
      <color theme="1"/>
      <name val="Arial"/>
      <family val="2"/>
    </font>
    <font>
      <sz val="30"/>
      <color rgb="FFFF0000"/>
      <name val="Arial"/>
      <family val="2"/>
    </font>
    <font>
      <b/>
      <sz val="30"/>
      <color theme="1"/>
      <name val="Arial"/>
      <family val="2"/>
    </font>
    <font>
      <sz val="11"/>
      <color rgb="FF000000"/>
      <name val="Bookman Old Style"/>
      <family val="1"/>
    </font>
    <font>
      <b/>
      <sz val="11"/>
      <color theme="1"/>
      <name val="Bookman Old Style"/>
      <family val="1"/>
    </font>
    <font>
      <sz val="11"/>
      <color theme="1"/>
      <name val="Bookman Old Style"/>
      <family val="1"/>
    </font>
    <font>
      <b/>
      <sz val="9"/>
      <name val="Arial"/>
      <family val="2"/>
    </font>
    <font>
      <sz val="9"/>
      <name val="Arial"/>
      <family val="2"/>
    </font>
    <font>
      <sz val="9"/>
      <name val="Calibri"/>
      <family val="2"/>
      <scheme val="minor"/>
    </font>
    <font>
      <b/>
      <sz val="18"/>
      <name val="Arial"/>
      <family val="2"/>
    </font>
    <font>
      <b/>
      <u/>
      <sz val="16"/>
      <name val="Arial Black"/>
      <family val="2"/>
    </font>
    <font>
      <sz val="16"/>
      <name val="Arial"/>
      <family val="2"/>
    </font>
    <font>
      <sz val="18"/>
      <color rgb="FFFF0000"/>
      <name val="Arial"/>
      <family val="2"/>
    </font>
    <font>
      <b/>
      <sz val="18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39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name val="Arial"/>
      <family val="2"/>
    </font>
    <font>
      <sz val="46"/>
      <name val="Arial Black"/>
      <family val="2"/>
    </font>
    <font>
      <u/>
      <sz val="24"/>
      <color rgb="FFFF0000"/>
      <name val="Arial Black"/>
      <family val="2"/>
    </font>
    <font>
      <sz val="24"/>
      <color rgb="FFFF0000"/>
      <name val="Arial"/>
      <family val="2"/>
    </font>
    <font>
      <u/>
      <sz val="14"/>
      <color rgb="FFFF0000"/>
      <name val="Arial Black"/>
      <family val="2"/>
    </font>
    <font>
      <b/>
      <sz val="36"/>
      <color rgb="FFFF0000"/>
      <name val="Arial"/>
      <family val="2"/>
    </font>
    <font>
      <b/>
      <sz val="22"/>
      <color rgb="FFFF0000"/>
      <name val="Arial"/>
      <family val="2"/>
    </font>
    <font>
      <b/>
      <sz val="14"/>
      <color rgb="FFFF0000"/>
      <name val="Arial"/>
      <family val="2"/>
    </font>
    <font>
      <sz val="6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i/>
      <sz val="14"/>
      <name val="Arial"/>
      <family val="2"/>
    </font>
    <font>
      <b/>
      <i/>
      <sz val="24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color rgb="FF0000FF"/>
      <name val="Arial"/>
      <family val="2"/>
    </font>
    <font>
      <sz val="36"/>
      <name val="Arial Black"/>
      <family val="2"/>
    </font>
    <font>
      <b/>
      <sz val="72"/>
      <color rgb="FFFF0000"/>
      <name val="Arial"/>
      <family val="2"/>
    </font>
    <font>
      <b/>
      <sz val="64"/>
      <color rgb="FFFF0000"/>
      <name val="Arial"/>
      <family val="2"/>
    </font>
    <font>
      <b/>
      <sz val="12"/>
      <color rgb="FF000000"/>
      <name val="Calibr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A8E6B4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8323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505050"/>
      </left>
      <right/>
      <top/>
      <bottom style="thin">
        <color rgb="FF505050"/>
      </bottom>
      <diagonal/>
    </border>
    <border>
      <left style="thin">
        <color rgb="FF505050"/>
      </left>
      <right/>
      <top style="thin">
        <color rgb="FF505050"/>
      </top>
      <bottom style="thin">
        <color rgb="FF50505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rgb="FF505050"/>
      </top>
      <bottom/>
      <diagonal/>
    </border>
    <border>
      <left/>
      <right/>
      <top style="medium">
        <color rgb="FF505050"/>
      </top>
      <bottom/>
      <diagonal/>
    </border>
    <border>
      <left/>
      <right style="medium">
        <color indexed="64"/>
      </right>
      <top style="medium">
        <color rgb="FF50505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2">
    <xf numFmtId="0" fontId="0" fillId="0" borderId="0"/>
    <xf numFmtId="0" fontId="27" fillId="6" borderId="1" applyNumberFormat="0" applyProtection="0">
      <alignment horizontal="center" vertical="center"/>
    </xf>
    <xf numFmtId="0" fontId="26" fillId="3" borderId="0" applyNumberFormat="0" applyBorder="0" applyAlignment="0" applyProtection="0"/>
    <xf numFmtId="0" fontId="27" fillId="7" borderId="1" applyNumberFormat="0" applyProtection="0">
      <alignment horizontal="center" vertical="center"/>
    </xf>
    <xf numFmtId="0" fontId="1" fillId="0" borderId="0"/>
    <xf numFmtId="0" fontId="27" fillId="8" borderId="1" applyNumberFormat="0" applyProtection="0">
      <alignment horizontal="center" vertical="center"/>
    </xf>
    <xf numFmtId="0" fontId="25" fillId="9" borderId="28" applyNumberFormat="0" applyFont="0" applyAlignment="0" applyProtection="0"/>
    <xf numFmtId="0" fontId="27" fillId="10" borderId="1" applyNumberFormat="0" applyProtection="0">
      <alignment horizontal="center"/>
    </xf>
    <xf numFmtId="0" fontId="27" fillId="3" borderId="1" applyNumberFormat="0" applyFont="0" applyBorder="0" applyProtection="0">
      <alignment horizontal="center" vertical="center"/>
    </xf>
    <xf numFmtId="0" fontId="25" fillId="11" borderId="1" applyNumberFormat="0" applyProtection="0">
      <alignment horizontal="center" vertical="center"/>
    </xf>
    <xf numFmtId="0" fontId="27" fillId="4" borderId="1" applyNumberFormat="0" applyProtection="0">
      <alignment horizontal="center" vertical="center"/>
    </xf>
    <xf numFmtId="0" fontId="27" fillId="5" borderId="1" applyNumberFormat="0" applyProtection="0">
      <alignment horizontal="center" vertical="center"/>
    </xf>
  </cellStyleXfs>
  <cellXfs count="364">
    <xf numFmtId="0" fontId="0" fillId="0" borderId="0" xfId="0"/>
    <xf numFmtId="0" fontId="1" fillId="12" borderId="0" xfId="4" applyFill="1" applyAlignment="1">
      <alignment horizontal="center"/>
    </xf>
    <xf numFmtId="0" fontId="1" fillId="12" borderId="0" xfId="4" applyFill="1"/>
    <xf numFmtId="1" fontId="1" fillId="12" borderId="0" xfId="4" applyNumberFormat="1" applyFill="1" applyAlignment="1">
      <alignment horizontal="center"/>
    </xf>
    <xf numFmtId="164" fontId="1" fillId="12" borderId="0" xfId="4" applyNumberFormat="1" applyFill="1" applyAlignment="1">
      <alignment horizontal="center"/>
    </xf>
    <xf numFmtId="0" fontId="1" fillId="12" borderId="0" xfId="4" applyFill="1" applyAlignment="1">
      <alignment horizontal="left"/>
    </xf>
    <xf numFmtId="0" fontId="2" fillId="12" borderId="2" xfId="4" applyFont="1" applyFill="1" applyBorder="1"/>
    <xf numFmtId="0" fontId="2" fillId="12" borderId="3" xfId="4" applyFont="1" applyFill="1" applyBorder="1"/>
    <xf numFmtId="0" fontId="28" fillId="12" borderId="3" xfId="4" applyFont="1" applyFill="1" applyBorder="1"/>
    <xf numFmtId="14" fontId="3" fillId="12" borderId="3" xfId="4" applyNumberFormat="1" applyFont="1" applyFill="1" applyBorder="1"/>
    <xf numFmtId="14" fontId="3" fillId="12" borderId="4" xfId="4" applyNumberFormat="1" applyFont="1" applyFill="1" applyBorder="1"/>
    <xf numFmtId="0" fontId="1" fillId="0" borderId="0" xfId="4" applyAlignment="1">
      <alignment horizontal="left"/>
    </xf>
    <xf numFmtId="0" fontId="1" fillId="0" borderId="0" xfId="4" applyAlignment="1">
      <alignment horizontal="center"/>
    </xf>
    <xf numFmtId="0" fontId="4" fillId="12" borderId="0" xfId="4" applyFont="1" applyFill="1" applyAlignment="1">
      <alignment horizontal="center" wrapText="1"/>
    </xf>
    <xf numFmtId="0" fontId="4" fillId="0" borderId="0" xfId="4" applyFont="1" applyAlignment="1">
      <alignment horizontal="left" wrapText="1"/>
    </xf>
    <xf numFmtId="0" fontId="4" fillId="0" borderId="0" xfId="4" applyFont="1" applyAlignment="1">
      <alignment horizontal="center" wrapText="1"/>
    </xf>
    <xf numFmtId="0" fontId="29" fillId="12" borderId="0" xfId="2" applyFont="1" applyFill="1" applyAlignment="1">
      <alignment horizontal="center"/>
    </xf>
    <xf numFmtId="0" fontId="27" fillId="12" borderId="5" xfId="8" applyFill="1" applyBorder="1">
      <alignment horizontal="center" vertical="center"/>
    </xf>
    <xf numFmtId="0" fontId="27" fillId="12" borderId="5" xfId="8" applyFill="1" applyBorder="1" applyAlignment="1"/>
    <xf numFmtId="0" fontId="5" fillId="0" borderId="5" xfId="8" applyFont="1" applyFill="1" applyBorder="1" applyAlignment="1">
      <alignment horizontal="left"/>
    </xf>
    <xf numFmtId="0" fontId="5" fillId="0" borderId="5" xfId="2" applyFont="1" applyFill="1" applyBorder="1" applyAlignment="1">
      <alignment horizontal="center"/>
    </xf>
    <xf numFmtId="0" fontId="29" fillId="0" borderId="0" xfId="2" applyFont="1" applyFill="1" applyAlignment="1">
      <alignment horizontal="left"/>
    </xf>
    <xf numFmtId="0" fontId="29" fillId="0" borderId="0" xfId="2" applyFont="1" applyFill="1" applyAlignment="1">
      <alignment horizontal="center"/>
    </xf>
    <xf numFmtId="20" fontId="27" fillId="12" borderId="5" xfId="8" applyNumberFormat="1" applyFill="1" applyBorder="1">
      <alignment horizontal="center" vertical="center"/>
    </xf>
    <xf numFmtId="1" fontId="27" fillId="12" borderId="5" xfId="8" applyNumberFormat="1" applyFill="1" applyBorder="1">
      <alignment horizontal="center" vertical="center"/>
    </xf>
    <xf numFmtId="0" fontId="5" fillId="12" borderId="0" xfId="10" applyFont="1" applyFill="1" applyBorder="1">
      <alignment horizontal="center" vertical="center"/>
    </xf>
    <xf numFmtId="0" fontId="5" fillId="0" borderId="0" xfId="10" applyFont="1" applyFill="1" applyBorder="1">
      <alignment horizontal="center" vertical="center"/>
    </xf>
    <xf numFmtId="0" fontId="5" fillId="0" borderId="1" xfId="10" applyFont="1" applyFill="1">
      <alignment horizontal="center" vertical="center"/>
    </xf>
    <xf numFmtId="20" fontId="5" fillId="0" borderId="5" xfId="8" applyNumberFormat="1" applyFont="1" applyFill="1" applyBorder="1">
      <alignment horizontal="center" vertical="center"/>
    </xf>
    <xf numFmtId="1" fontId="5" fillId="0" borderId="5" xfId="8" applyNumberFormat="1" applyFont="1" applyFill="1" applyBorder="1">
      <alignment horizontal="center" vertical="center"/>
    </xf>
    <xf numFmtId="0" fontId="5" fillId="0" borderId="5" xfId="8" applyFont="1" applyFill="1" applyBorder="1">
      <alignment horizontal="center" vertical="center"/>
    </xf>
    <xf numFmtId="0" fontId="29" fillId="0" borderId="5" xfId="2" applyFont="1" applyFill="1" applyBorder="1" applyAlignment="1">
      <alignment horizontal="center"/>
    </xf>
    <xf numFmtId="0" fontId="30" fillId="0" borderId="0" xfId="2" applyFont="1" applyFill="1"/>
    <xf numFmtId="0" fontId="29" fillId="13" borderId="0" xfId="2" applyFont="1" applyFill="1" applyAlignment="1">
      <alignment horizontal="center"/>
    </xf>
    <xf numFmtId="164" fontId="5" fillId="0" borderId="5" xfId="10" applyNumberFormat="1" applyFont="1" applyFill="1" applyBorder="1">
      <alignment horizontal="center" vertical="center"/>
    </xf>
    <xf numFmtId="0" fontId="5" fillId="0" borderId="6" xfId="10" applyFont="1" applyFill="1" applyBorder="1">
      <alignment horizontal="center" vertical="center"/>
    </xf>
    <xf numFmtId="0" fontId="5" fillId="0" borderId="5" xfId="10" applyFont="1" applyFill="1" applyBorder="1">
      <alignment horizontal="center" vertical="center"/>
    </xf>
    <xf numFmtId="0" fontId="5" fillId="0" borderId="0" xfId="10" applyFont="1" applyFill="1" applyBorder="1" applyAlignment="1">
      <alignment horizontal="left"/>
    </xf>
    <xf numFmtId="0" fontId="5" fillId="4" borderId="1" xfId="10" applyFont="1">
      <alignment horizontal="center" vertical="center"/>
    </xf>
    <xf numFmtId="0" fontId="5" fillId="12" borderId="0" xfId="8" applyFont="1" applyFill="1" applyBorder="1">
      <alignment horizontal="center" vertical="center"/>
    </xf>
    <xf numFmtId="164" fontId="5" fillId="0" borderId="5" xfId="8" applyNumberFormat="1" applyFont="1" applyFill="1" applyBorder="1">
      <alignment horizontal="center" vertical="center"/>
    </xf>
    <xf numFmtId="0" fontId="5" fillId="0" borderId="0" xfId="8" applyFont="1" applyFill="1" applyBorder="1" applyAlignment="1">
      <alignment horizontal="left"/>
    </xf>
    <xf numFmtId="0" fontId="5" fillId="0" borderId="0" xfId="8" applyFont="1" applyFill="1" applyBorder="1">
      <alignment horizontal="center" vertical="center"/>
    </xf>
    <xf numFmtId="0" fontId="5" fillId="0" borderId="1" xfId="8" applyFont="1" applyFill="1">
      <alignment horizontal="center" vertical="center"/>
    </xf>
    <xf numFmtId="0" fontId="5" fillId="12" borderId="0" xfId="4" applyFont="1" applyFill="1" applyAlignment="1">
      <alignment horizontal="center"/>
    </xf>
    <xf numFmtId="0" fontId="5" fillId="0" borderId="0" xfId="4" applyFont="1" applyAlignment="1">
      <alignment horizontal="left"/>
    </xf>
    <xf numFmtId="0" fontId="5" fillId="0" borderId="0" xfId="4" applyFont="1" applyAlignment="1">
      <alignment horizontal="center"/>
    </xf>
    <xf numFmtId="0" fontId="5" fillId="0" borderId="7" xfId="4" applyFont="1" applyBorder="1" applyAlignment="1">
      <alignment horizontal="center"/>
    </xf>
    <xf numFmtId="0" fontId="5" fillId="0" borderId="5" xfId="4" applyFont="1" applyBorder="1" applyAlignment="1">
      <alignment horizontal="center"/>
    </xf>
    <xf numFmtId="0" fontId="1" fillId="0" borderId="5" xfId="4" applyBorder="1" applyAlignment="1">
      <alignment horizontal="center"/>
    </xf>
    <xf numFmtId="0" fontId="5" fillId="0" borderId="5" xfId="8" applyFont="1" applyFill="1" applyBorder="1" applyAlignment="1"/>
    <xf numFmtId="0" fontId="1" fillId="0" borderId="0" xfId="4"/>
    <xf numFmtId="1" fontId="1" fillId="0" borderId="0" xfId="4" applyNumberFormat="1" applyAlignment="1">
      <alignment horizontal="center"/>
    </xf>
    <xf numFmtId="164" fontId="1" fillId="0" borderId="0" xfId="4" applyNumberFormat="1" applyAlignment="1">
      <alignment horizontal="center"/>
    </xf>
    <xf numFmtId="0" fontId="1" fillId="12" borderId="8" xfId="4" applyFill="1" applyBorder="1"/>
    <xf numFmtId="0" fontId="1" fillId="12" borderId="9" xfId="4" applyFill="1" applyBorder="1"/>
    <xf numFmtId="0" fontId="1" fillId="12" borderId="10" xfId="4" applyFill="1" applyBorder="1"/>
    <xf numFmtId="0" fontId="1" fillId="12" borderId="11" xfId="4" applyFill="1" applyBorder="1"/>
    <xf numFmtId="0" fontId="1" fillId="12" borderId="12" xfId="4" applyFill="1" applyBorder="1"/>
    <xf numFmtId="0" fontId="7" fillId="14" borderId="13" xfId="4" applyFont="1" applyFill="1" applyBorder="1"/>
    <xf numFmtId="0" fontId="1" fillId="14" borderId="14" xfId="4" applyFill="1" applyBorder="1"/>
    <xf numFmtId="0" fontId="1" fillId="14" borderId="15" xfId="4" applyFill="1" applyBorder="1"/>
    <xf numFmtId="0" fontId="8" fillId="12" borderId="11" xfId="4" applyFont="1" applyFill="1" applyBorder="1" applyAlignment="1">
      <alignment horizontal="left" vertical="center"/>
    </xf>
    <xf numFmtId="0" fontId="9" fillId="12" borderId="0" xfId="4" applyFont="1" applyFill="1" applyAlignment="1">
      <alignment horizontal="right" vertical="top"/>
    </xf>
    <xf numFmtId="0" fontId="9" fillId="12" borderId="12" xfId="4" applyFont="1" applyFill="1" applyBorder="1" applyAlignment="1">
      <alignment horizontal="right" vertical="top"/>
    </xf>
    <xf numFmtId="0" fontId="11" fillId="12" borderId="0" xfId="4" applyFont="1" applyFill="1"/>
    <xf numFmtId="0" fontId="11" fillId="12" borderId="12" xfId="4" applyFont="1" applyFill="1" applyBorder="1"/>
    <xf numFmtId="0" fontId="12" fillId="12" borderId="8" xfId="4" applyFont="1" applyFill="1" applyBorder="1"/>
    <xf numFmtId="0" fontId="11" fillId="12" borderId="9" xfId="4" applyFont="1" applyFill="1" applyBorder="1"/>
    <xf numFmtId="0" fontId="13" fillId="12" borderId="10" xfId="4" applyFont="1" applyFill="1" applyBorder="1"/>
    <xf numFmtId="0" fontId="15" fillId="12" borderId="11" xfId="4" applyFont="1" applyFill="1" applyBorder="1"/>
    <xf numFmtId="0" fontId="12" fillId="12" borderId="11" xfId="4" applyFont="1" applyFill="1" applyBorder="1"/>
    <xf numFmtId="0" fontId="11" fillId="12" borderId="15" xfId="4" applyFont="1" applyFill="1" applyBorder="1"/>
    <xf numFmtId="0" fontId="17" fillId="12" borderId="9" xfId="4" applyFont="1" applyFill="1" applyBorder="1"/>
    <xf numFmtId="166" fontId="13" fillId="12" borderId="10" xfId="4" applyNumberFormat="1" applyFont="1" applyFill="1" applyBorder="1" applyAlignment="1">
      <alignment horizontal="right"/>
    </xf>
    <xf numFmtId="0" fontId="19" fillId="12" borderId="11" xfId="4" applyFont="1" applyFill="1" applyBorder="1"/>
    <xf numFmtId="1" fontId="13" fillId="12" borderId="12" xfId="4" applyNumberFormat="1" applyFont="1" applyFill="1" applyBorder="1" applyAlignment="1">
      <alignment horizontal="right"/>
    </xf>
    <xf numFmtId="0" fontId="12" fillId="12" borderId="13" xfId="4" applyFont="1" applyFill="1" applyBorder="1"/>
    <xf numFmtId="0" fontId="11" fillId="12" borderId="14" xfId="4" applyFont="1" applyFill="1" applyBorder="1"/>
    <xf numFmtId="0" fontId="20" fillId="12" borderId="15" xfId="4" applyFont="1" applyFill="1" applyBorder="1" applyAlignment="1">
      <alignment horizontal="right"/>
    </xf>
    <xf numFmtId="20" fontId="21" fillId="12" borderId="10" xfId="4" applyNumberFormat="1" applyFont="1" applyFill="1" applyBorder="1" applyAlignment="1">
      <alignment horizontal="right"/>
    </xf>
    <xf numFmtId="49" fontId="21" fillId="12" borderId="12" xfId="4" applyNumberFormat="1" applyFont="1" applyFill="1" applyBorder="1" applyAlignment="1">
      <alignment horizontal="right"/>
    </xf>
    <xf numFmtId="0" fontId="12" fillId="12" borderId="0" xfId="4" applyFont="1" applyFill="1"/>
    <xf numFmtId="0" fontId="30" fillId="0" borderId="0" xfId="0" applyFont="1"/>
    <xf numFmtId="0" fontId="30" fillId="0" borderId="16" xfId="0" applyFont="1" applyBorder="1"/>
    <xf numFmtId="0" fontId="30" fillId="0" borderId="5" xfId="0" applyFont="1" applyBorder="1"/>
    <xf numFmtId="0" fontId="30" fillId="0" borderId="17" xfId="0" applyFont="1" applyBorder="1"/>
    <xf numFmtId="0" fontId="30" fillId="0" borderId="18" xfId="0" applyFont="1" applyBorder="1"/>
    <xf numFmtId="14" fontId="5" fillId="0" borderId="5" xfId="8" applyNumberFormat="1" applyFont="1" applyFill="1" applyBorder="1">
      <alignment horizontal="center" vertical="center"/>
    </xf>
    <xf numFmtId="0" fontId="5" fillId="0" borderId="5" xfId="11" applyFont="1" applyFill="1" applyBorder="1">
      <alignment horizontal="center" vertical="center"/>
    </xf>
    <xf numFmtId="0" fontId="5" fillId="0" borderId="5" xfId="11" applyFont="1" applyFill="1" applyBorder="1" applyAlignment="1"/>
    <xf numFmtId="1" fontId="5" fillId="0" borderId="5" xfId="11" applyNumberFormat="1" applyFont="1" applyFill="1" applyBorder="1">
      <alignment horizontal="center" vertical="center"/>
    </xf>
    <xf numFmtId="0" fontId="4" fillId="2" borderId="19" xfId="4" applyFont="1" applyFill="1" applyBorder="1" applyAlignment="1">
      <alignment horizontal="center" wrapText="1"/>
    </xf>
    <xf numFmtId="0" fontId="4" fillId="2" borderId="20" xfId="4" applyFont="1" applyFill="1" applyBorder="1" applyAlignment="1">
      <alignment horizontal="center" wrapText="1"/>
    </xf>
    <xf numFmtId="0" fontId="4" fillId="2" borderId="21" xfId="4" applyFont="1" applyFill="1" applyBorder="1" applyAlignment="1">
      <alignment horizontal="center" wrapText="1"/>
    </xf>
    <xf numFmtId="0" fontId="4" fillId="2" borderId="21" xfId="4" applyFont="1" applyFill="1" applyBorder="1" applyAlignment="1">
      <alignment wrapText="1"/>
    </xf>
    <xf numFmtId="0" fontId="4" fillId="2" borderId="22" xfId="4" applyFont="1" applyFill="1" applyBorder="1" applyAlignment="1">
      <alignment horizontal="center" wrapText="1"/>
    </xf>
    <xf numFmtId="1" fontId="4" fillId="2" borderId="21" xfId="4" applyNumberFormat="1" applyFont="1" applyFill="1" applyBorder="1" applyAlignment="1">
      <alignment horizontal="center" wrapText="1"/>
    </xf>
    <xf numFmtId="164" fontId="4" fillId="2" borderId="21" xfId="4" applyNumberFormat="1" applyFont="1" applyFill="1" applyBorder="1" applyAlignment="1">
      <alignment horizontal="center" wrapText="1"/>
    </xf>
    <xf numFmtId="165" fontId="27" fillId="12" borderId="5" xfId="8" applyNumberFormat="1" applyFill="1" applyBorder="1">
      <alignment horizontal="center" vertical="center"/>
    </xf>
    <xf numFmtId="165" fontId="5" fillId="0" borderId="5" xfId="8" applyNumberFormat="1" applyFont="1" applyFill="1" applyBorder="1">
      <alignment horizontal="center" vertical="center"/>
    </xf>
    <xf numFmtId="0" fontId="27" fillId="12" borderId="5" xfId="11" applyFill="1" applyBorder="1">
      <alignment horizontal="center" vertical="center"/>
    </xf>
    <xf numFmtId="0" fontId="27" fillId="12" borderId="5" xfId="11" applyFill="1" applyBorder="1" applyAlignment="1"/>
    <xf numFmtId="0" fontId="27" fillId="0" borderId="5" xfId="11" applyFill="1" applyBorder="1">
      <alignment horizontal="center" vertical="center"/>
    </xf>
    <xf numFmtId="0" fontId="6" fillId="0" borderId="5" xfId="8" applyFont="1" applyFill="1" applyBorder="1">
      <alignment horizontal="center" vertical="center"/>
    </xf>
    <xf numFmtId="0" fontId="5" fillId="0" borderId="5" xfId="4" applyFont="1" applyBorder="1"/>
    <xf numFmtId="0" fontId="2" fillId="12" borderId="9" xfId="4" applyFont="1" applyFill="1" applyBorder="1"/>
    <xf numFmtId="0" fontId="1" fillId="0" borderId="5" xfId="4" applyBorder="1"/>
    <xf numFmtId="0" fontId="5" fillId="0" borderId="0" xfId="4" applyFont="1"/>
    <xf numFmtId="0" fontId="23" fillId="12" borderId="12" xfId="4" applyFont="1" applyFill="1" applyBorder="1" applyAlignment="1">
      <alignment horizontal="right"/>
    </xf>
    <xf numFmtId="0" fontId="30" fillId="0" borderId="23" xfId="0" applyFont="1" applyBorder="1"/>
    <xf numFmtId="0" fontId="5" fillId="0" borderId="23" xfId="4" applyFont="1" applyBorder="1"/>
    <xf numFmtId="0" fontId="30" fillId="0" borderId="24" xfId="0" applyFont="1" applyBorder="1"/>
    <xf numFmtId="0" fontId="1" fillId="0" borderId="7" xfId="4" applyBorder="1"/>
    <xf numFmtId="0" fontId="24" fillId="12" borderId="0" xfId="4" applyFont="1" applyFill="1"/>
    <xf numFmtId="0" fontId="5" fillId="12" borderId="0" xfId="4" applyFont="1" applyFill="1" applyAlignment="1">
      <alignment wrapText="1"/>
    </xf>
    <xf numFmtId="0" fontId="23" fillId="12" borderId="0" xfId="4" applyFont="1" applyFill="1" applyAlignment="1">
      <alignment horizontal="right"/>
    </xf>
    <xf numFmtId="0" fontId="1" fillId="12" borderId="5" xfId="4" applyFill="1" applyBorder="1"/>
    <xf numFmtId="0" fontId="1" fillId="0" borderId="16" xfId="4" applyBorder="1"/>
    <xf numFmtId="0" fontId="5" fillId="0" borderId="7" xfId="4" applyFont="1" applyBorder="1"/>
    <xf numFmtId="20" fontId="30" fillId="0" borderId="5" xfId="0" applyNumberFormat="1" applyFont="1" applyBorder="1"/>
    <xf numFmtId="0" fontId="1" fillId="0" borderId="5" xfId="8" applyFont="1" applyFill="1" applyBorder="1" applyAlignment="1"/>
    <xf numFmtId="0" fontId="1" fillId="0" borderId="5" xfId="10" applyFont="1" applyFill="1" applyBorder="1" applyAlignment="1"/>
    <xf numFmtId="0" fontId="35" fillId="17" borderId="0" xfId="0" applyFont="1" applyFill="1" applyAlignment="1">
      <alignment wrapText="1"/>
    </xf>
    <xf numFmtId="0" fontId="1" fillId="0" borderId="5" xfId="0" applyFont="1" applyBorder="1" applyAlignment="1">
      <alignment wrapText="1"/>
    </xf>
    <xf numFmtId="0" fontId="36" fillId="0" borderId="31" xfId="0" applyFont="1" applyBorder="1"/>
    <xf numFmtId="0" fontId="37" fillId="0" borderId="1" xfId="0" applyFont="1" applyBorder="1"/>
    <xf numFmtId="0" fontId="30" fillId="0" borderId="33" xfId="0" applyFont="1" applyBorder="1"/>
    <xf numFmtId="0" fontId="30" fillId="0" borderId="34" xfId="0" applyFont="1" applyBorder="1"/>
    <xf numFmtId="0" fontId="39" fillId="0" borderId="5" xfId="8" applyFont="1" applyFill="1" applyBorder="1" applyAlignment="1">
      <alignment horizontal="left"/>
    </xf>
    <xf numFmtId="0" fontId="39" fillId="0" borderId="5" xfId="0" applyFont="1" applyBorder="1" applyAlignment="1">
      <alignment wrapText="1"/>
    </xf>
    <xf numFmtId="0" fontId="1" fillId="12" borderId="3" xfId="4" applyFill="1" applyBorder="1" applyAlignment="1">
      <alignment wrapText="1"/>
    </xf>
    <xf numFmtId="0" fontId="31" fillId="12" borderId="3" xfId="4" applyFont="1" applyFill="1" applyBorder="1"/>
    <xf numFmtId="0" fontId="42" fillId="12" borderId="11" xfId="4" applyFont="1" applyFill="1" applyBorder="1"/>
    <xf numFmtId="0" fontId="43" fillId="12" borderId="0" xfId="4" applyFont="1" applyFill="1"/>
    <xf numFmtId="0" fontId="1" fillId="0" borderId="33" xfId="0" applyFont="1" applyBorder="1" applyAlignment="1">
      <alignment wrapText="1"/>
    </xf>
    <xf numFmtId="0" fontId="4" fillId="16" borderId="36" xfId="0" applyFont="1" applyFill="1" applyBorder="1" applyAlignment="1">
      <alignment wrapText="1"/>
    </xf>
    <xf numFmtId="0" fontId="4" fillId="16" borderId="38" xfId="0" applyFont="1" applyFill="1" applyBorder="1" applyAlignment="1">
      <alignment wrapText="1"/>
    </xf>
    <xf numFmtId="0" fontId="38" fillId="16" borderId="38" xfId="0" applyFont="1" applyFill="1" applyBorder="1" applyAlignment="1">
      <alignment wrapText="1"/>
    </xf>
    <xf numFmtId="0" fontId="38" fillId="16" borderId="39" xfId="0" applyFont="1" applyFill="1" applyBorder="1" applyAlignment="1">
      <alignment wrapText="1"/>
    </xf>
    <xf numFmtId="0" fontId="4" fillId="16" borderId="2" xfId="0" applyFont="1" applyFill="1" applyBorder="1" applyAlignment="1">
      <alignment wrapText="1"/>
    </xf>
    <xf numFmtId="0" fontId="41" fillId="16" borderId="38" xfId="0" applyFont="1" applyFill="1" applyBorder="1" applyAlignment="1">
      <alignment wrapText="1"/>
    </xf>
    <xf numFmtId="0" fontId="41" fillId="16" borderId="39" xfId="0" applyFont="1" applyFill="1" applyBorder="1" applyAlignment="1">
      <alignment wrapText="1"/>
    </xf>
    <xf numFmtId="0" fontId="1" fillId="15" borderId="40" xfId="0" applyFont="1" applyFill="1" applyBorder="1" applyAlignment="1">
      <alignment wrapText="1"/>
    </xf>
    <xf numFmtId="0" fontId="39" fillId="15" borderId="41" xfId="8" applyFont="1" applyFill="1" applyBorder="1">
      <alignment horizontal="center" vertical="center"/>
    </xf>
    <xf numFmtId="14" fontId="39" fillId="15" borderId="41" xfId="4" applyNumberFormat="1" applyFont="1" applyFill="1" applyBorder="1" applyAlignment="1">
      <alignment horizontal="center"/>
    </xf>
    <xf numFmtId="0" fontId="40" fillId="16" borderId="41" xfId="0" applyFont="1" applyFill="1" applyBorder="1" applyAlignment="1">
      <alignment wrapText="1"/>
    </xf>
    <xf numFmtId="0" fontId="45" fillId="16" borderId="41" xfId="0" applyFont="1" applyFill="1" applyBorder="1" applyAlignment="1">
      <alignment vertical="center" wrapText="1"/>
    </xf>
    <xf numFmtId="0" fontId="45" fillId="16" borderId="42" xfId="0" applyFont="1" applyFill="1" applyBorder="1" applyAlignment="1">
      <alignment vertical="center" wrapText="1"/>
    </xf>
    <xf numFmtId="0" fontId="40" fillId="16" borderId="43" xfId="0" applyFont="1" applyFill="1" applyBorder="1" applyAlignment="1">
      <alignment wrapText="1"/>
    </xf>
    <xf numFmtId="0" fontId="40" fillId="16" borderId="44" xfId="0" applyFont="1" applyFill="1" applyBorder="1" applyAlignment="1">
      <alignment wrapText="1"/>
    </xf>
    <xf numFmtId="0" fontId="46" fillId="16" borderId="39" xfId="0" applyFont="1" applyFill="1" applyBorder="1" applyAlignment="1">
      <alignment wrapText="1"/>
    </xf>
    <xf numFmtId="0" fontId="47" fillId="20" borderId="0" xfId="0" applyFont="1" applyFill="1" applyAlignment="1">
      <alignment vertical="center" wrapText="1"/>
    </xf>
    <xf numFmtId="0" fontId="49" fillId="0" borderId="0" xfId="0" applyFont="1"/>
    <xf numFmtId="0" fontId="48" fillId="0" borderId="0" xfId="0" applyFont="1" applyAlignment="1">
      <alignment vertical="center" wrapText="1"/>
    </xf>
    <xf numFmtId="4" fontId="5" fillId="0" borderId="5" xfId="0" applyNumberFormat="1" applyFont="1" applyBorder="1" applyAlignment="1">
      <alignment horizontal="left" vertical="top"/>
    </xf>
    <xf numFmtId="0" fontId="39" fillId="0" borderId="5" xfId="8" applyFont="1" applyFill="1" applyBorder="1" applyAlignment="1">
      <alignment horizontal="left" vertical="center"/>
    </xf>
    <xf numFmtId="0" fontId="39" fillId="0" borderId="5" xfId="0" applyFont="1" applyBorder="1" applyAlignment="1">
      <alignment horizontal="left" vertical="center" wrapText="1"/>
    </xf>
    <xf numFmtId="16" fontId="0" fillId="0" borderId="0" xfId="0" applyNumberFormat="1"/>
    <xf numFmtId="0" fontId="1" fillId="15" borderId="36" xfId="0" applyFont="1" applyFill="1" applyBorder="1" applyAlignment="1">
      <alignment wrapText="1"/>
    </xf>
    <xf numFmtId="0" fontId="39" fillId="15" borderId="38" xfId="8" applyFont="1" applyFill="1" applyBorder="1">
      <alignment horizontal="center" vertical="center"/>
    </xf>
    <xf numFmtId="14" fontId="39" fillId="15" borderId="38" xfId="4" applyNumberFormat="1" applyFont="1" applyFill="1" applyBorder="1" applyAlignment="1">
      <alignment horizontal="center"/>
    </xf>
    <xf numFmtId="0" fontId="40" fillId="16" borderId="38" xfId="0" applyFont="1" applyFill="1" applyBorder="1" applyAlignment="1">
      <alignment wrapText="1"/>
    </xf>
    <xf numFmtId="0" fontId="45" fillId="16" borderId="38" xfId="0" applyFont="1" applyFill="1" applyBorder="1" applyAlignment="1">
      <alignment vertical="center" wrapText="1"/>
    </xf>
    <xf numFmtId="0" fontId="45" fillId="16" borderId="45" xfId="0" applyFont="1" applyFill="1" applyBorder="1" applyAlignment="1">
      <alignment vertical="center" wrapText="1"/>
    </xf>
    <xf numFmtId="0" fontId="40" fillId="16" borderId="37" xfId="0" applyFont="1" applyFill="1" applyBorder="1" applyAlignment="1">
      <alignment wrapText="1"/>
    </xf>
    <xf numFmtId="0" fontId="40" fillId="16" borderId="39" xfId="0" applyFont="1" applyFill="1" applyBorder="1" applyAlignment="1">
      <alignment wrapText="1"/>
    </xf>
    <xf numFmtId="0" fontId="50" fillId="0" borderId="0" xfId="0" applyFont="1"/>
    <xf numFmtId="0" fontId="1" fillId="0" borderId="5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51" fillId="12" borderId="0" xfId="4" applyFont="1" applyFill="1"/>
    <xf numFmtId="0" fontId="21" fillId="12" borderId="0" xfId="4" applyFont="1" applyFill="1" applyAlignment="1">
      <alignment horizontal="left" vertical="center"/>
    </xf>
    <xf numFmtId="0" fontId="46" fillId="16" borderId="44" xfId="0" applyFont="1" applyFill="1" applyBorder="1" applyAlignment="1">
      <alignment wrapText="1"/>
    </xf>
    <xf numFmtId="0" fontId="2" fillId="12" borderId="8" xfId="4" applyFont="1" applyFill="1" applyBorder="1"/>
    <xf numFmtId="0" fontId="1" fillId="12" borderId="9" xfId="4" applyFill="1" applyBorder="1" applyAlignment="1">
      <alignment wrapText="1"/>
    </xf>
    <xf numFmtId="0" fontId="31" fillId="12" borderId="9" xfId="4" applyFont="1" applyFill="1" applyBorder="1"/>
    <xf numFmtId="14" fontId="3" fillId="12" borderId="9" xfId="4" applyNumberFormat="1" applyFont="1" applyFill="1" applyBorder="1"/>
    <xf numFmtId="0" fontId="1" fillId="18" borderId="33" xfId="0" applyFont="1" applyFill="1" applyBorder="1" applyAlignment="1">
      <alignment horizontal="center" vertical="center" wrapText="1"/>
    </xf>
    <xf numFmtId="0" fontId="53" fillId="21" borderId="19" xfId="0" applyFont="1" applyFill="1" applyBorder="1" applyAlignment="1">
      <alignment wrapText="1"/>
    </xf>
    <xf numFmtId="0" fontId="53" fillId="21" borderId="20" xfId="0" applyFont="1" applyFill="1" applyBorder="1" applyAlignment="1">
      <alignment wrapText="1"/>
    </xf>
    <xf numFmtId="0" fontId="54" fillId="21" borderId="19" xfId="0" applyFont="1" applyFill="1" applyBorder="1" applyAlignment="1">
      <alignment wrapText="1"/>
    </xf>
    <xf numFmtId="0" fontId="54" fillId="21" borderId="20" xfId="0" applyFont="1" applyFill="1" applyBorder="1" applyAlignment="1">
      <alignment wrapText="1"/>
    </xf>
    <xf numFmtId="0" fontId="54" fillId="21" borderId="21" xfId="0" applyFont="1" applyFill="1" applyBorder="1" applyAlignment="1">
      <alignment wrapText="1"/>
    </xf>
    <xf numFmtId="0" fontId="54" fillId="21" borderId="22" xfId="0" applyFont="1" applyFill="1" applyBorder="1" applyAlignment="1">
      <alignment wrapText="1"/>
    </xf>
    <xf numFmtId="0" fontId="54" fillId="21" borderId="31" xfId="0" applyFont="1" applyFill="1" applyBorder="1" applyAlignment="1">
      <alignment wrapText="1"/>
    </xf>
    <xf numFmtId="0" fontId="4" fillId="21" borderId="36" xfId="0" applyFont="1" applyFill="1" applyBorder="1" applyAlignment="1">
      <alignment wrapText="1"/>
    </xf>
    <xf numFmtId="0" fontId="4" fillId="21" borderId="38" xfId="0" applyFont="1" applyFill="1" applyBorder="1" applyAlignment="1">
      <alignment wrapText="1"/>
    </xf>
    <xf numFmtId="0" fontId="38" fillId="21" borderId="38" xfId="0" applyFont="1" applyFill="1" applyBorder="1" applyAlignment="1">
      <alignment wrapText="1"/>
    </xf>
    <xf numFmtId="0" fontId="38" fillId="21" borderId="39" xfId="0" applyFont="1" applyFill="1" applyBorder="1" applyAlignment="1">
      <alignment wrapText="1"/>
    </xf>
    <xf numFmtId="0" fontId="38" fillId="21" borderId="31" xfId="0" applyFont="1" applyFill="1" applyBorder="1" applyAlignment="1">
      <alignment wrapText="1"/>
    </xf>
    <xf numFmtId="0" fontId="4" fillId="19" borderId="36" xfId="0" applyFont="1" applyFill="1" applyBorder="1" applyAlignment="1">
      <alignment horizontal="center" vertical="center" wrapText="1"/>
    </xf>
    <xf numFmtId="0" fontId="4" fillId="19" borderId="38" xfId="0" applyFont="1" applyFill="1" applyBorder="1" applyAlignment="1">
      <alignment horizontal="center" vertical="center" wrapText="1"/>
    </xf>
    <xf numFmtId="0" fontId="4" fillId="19" borderId="39" xfId="0" applyFont="1" applyFill="1" applyBorder="1" applyAlignment="1">
      <alignment horizontal="center" vertical="center" wrapText="1"/>
    </xf>
    <xf numFmtId="0" fontId="4" fillId="19" borderId="31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wrapText="1"/>
    </xf>
    <xf numFmtId="0" fontId="38" fillId="21" borderId="36" xfId="0" applyFont="1" applyFill="1" applyBorder="1" applyAlignment="1">
      <alignment wrapText="1"/>
    </xf>
    <xf numFmtId="0" fontId="38" fillId="21" borderId="37" xfId="0" applyFont="1" applyFill="1" applyBorder="1" applyAlignment="1">
      <alignment wrapText="1"/>
    </xf>
    <xf numFmtId="0" fontId="38" fillId="16" borderId="44" xfId="0" applyFont="1" applyFill="1" applyBorder="1" applyAlignment="1">
      <alignment wrapText="1"/>
    </xf>
    <xf numFmtId="0" fontId="1" fillId="18" borderId="5" xfId="0" applyFont="1" applyFill="1" applyBorder="1" applyAlignment="1">
      <alignment horizontal="center" vertical="center" wrapText="1"/>
    </xf>
    <xf numFmtId="0" fontId="38" fillId="21" borderId="45" xfId="0" applyFont="1" applyFill="1" applyBorder="1" applyAlignment="1">
      <alignment wrapText="1"/>
    </xf>
    <xf numFmtId="0" fontId="57" fillId="12" borderId="2" xfId="4" applyFont="1" applyFill="1" applyBorder="1"/>
    <xf numFmtId="0" fontId="58" fillId="12" borderId="3" xfId="4" applyFont="1" applyFill="1" applyBorder="1"/>
    <xf numFmtId="0" fontId="59" fillId="12" borderId="11" xfId="4" applyFont="1" applyFill="1" applyBorder="1"/>
    <xf numFmtId="0" fontId="0" fillId="0" borderId="47" xfId="0" applyBorder="1"/>
    <xf numFmtId="167" fontId="0" fillId="0" borderId="0" xfId="0" applyNumberFormat="1"/>
    <xf numFmtId="0" fontId="0" fillId="13" borderId="2" xfId="0" applyFill="1" applyBorder="1"/>
    <xf numFmtId="167" fontId="68" fillId="13" borderId="0" xfId="0" applyNumberFormat="1" applyFont="1" applyFill="1" applyAlignment="1">
      <alignment horizontal="center"/>
    </xf>
    <xf numFmtId="167" fontId="68" fillId="13" borderId="12" xfId="0" applyNumberFormat="1" applyFont="1" applyFill="1" applyBorder="1" applyAlignment="1">
      <alignment horizontal="center"/>
    </xf>
    <xf numFmtId="167" fontId="68" fillId="0" borderId="14" xfId="0" applyNumberFormat="1" applyFont="1" applyBorder="1" applyAlignment="1">
      <alignment horizontal="center"/>
    </xf>
    <xf numFmtId="167" fontId="68" fillId="0" borderId="15" xfId="0" applyNumberFormat="1" applyFont="1" applyBorder="1" applyAlignment="1">
      <alignment horizontal="center"/>
    </xf>
    <xf numFmtId="167" fontId="67" fillId="15" borderId="36" xfId="0" applyNumberFormat="1" applyFont="1" applyFill="1" applyBorder="1" applyAlignment="1">
      <alignment horizontal="center" vertical="center" wrapText="1"/>
    </xf>
    <xf numFmtId="0" fontId="50" fillId="0" borderId="5" xfId="0" applyFont="1" applyBorder="1"/>
    <xf numFmtId="0" fontId="27" fillId="0" borderId="0" xfId="0" applyFont="1"/>
    <xf numFmtId="167" fontId="69" fillId="0" borderId="46" xfId="0" applyNumberFormat="1" applyFont="1" applyBorder="1" applyAlignment="1">
      <alignment horizontal="center"/>
    </xf>
    <xf numFmtId="20" fontId="69" fillId="0" borderId="46" xfId="0" applyNumberFormat="1" applyFont="1" applyBorder="1" applyAlignment="1">
      <alignment horizontal="center"/>
    </xf>
    <xf numFmtId="0" fontId="63" fillId="15" borderId="2" xfId="0" applyFont="1" applyFill="1" applyBorder="1" applyAlignment="1">
      <alignment horizontal="center" vertical="center" wrapText="1"/>
    </xf>
    <xf numFmtId="16" fontId="39" fillId="0" borderId="48" xfId="8" applyNumberFormat="1" applyFont="1" applyFill="1" applyBorder="1">
      <alignment horizontal="center" vertical="center"/>
    </xf>
    <xf numFmtId="16" fontId="39" fillId="0" borderId="49" xfId="8" applyNumberFormat="1" applyFont="1" applyFill="1" applyBorder="1">
      <alignment horizontal="center" vertical="center"/>
    </xf>
    <xf numFmtId="16" fontId="39" fillId="0" borderId="13" xfId="8" applyNumberFormat="1" applyFont="1" applyFill="1" applyBorder="1">
      <alignment horizontal="center" vertical="center"/>
    </xf>
    <xf numFmtId="0" fontId="0" fillId="13" borderId="50" xfId="0" applyFill="1" applyBorder="1"/>
    <xf numFmtId="0" fontId="0" fillId="0" borderId="51" xfId="0" applyBorder="1"/>
    <xf numFmtId="167" fontId="43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22" borderId="9" xfId="0" applyNumberFormat="1" applyFont="1" applyFill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69" fillId="0" borderId="52" xfId="0" applyNumberFormat="1" applyFont="1" applyBorder="1" applyAlignment="1">
      <alignment horizontal="center"/>
    </xf>
    <xf numFmtId="167" fontId="69" fillId="0" borderId="53" xfId="0" applyNumberFormat="1" applyFont="1" applyBorder="1" applyAlignment="1">
      <alignment horizontal="center"/>
    </xf>
    <xf numFmtId="167" fontId="68" fillId="13" borderId="11" xfId="0" applyNumberFormat="1" applyFont="1" applyFill="1" applyBorder="1" applyAlignment="1">
      <alignment horizontal="center"/>
    </xf>
    <xf numFmtId="167" fontId="68" fillId="0" borderId="13" xfId="0" applyNumberFormat="1" applyFont="1" applyBorder="1" applyAlignment="1">
      <alignment horizontal="center"/>
    </xf>
    <xf numFmtId="167" fontId="68" fillId="24" borderId="31" xfId="0" applyNumberFormat="1" applyFont="1" applyFill="1" applyBorder="1" applyAlignment="1">
      <alignment horizontal="center"/>
    </xf>
    <xf numFmtId="167" fontId="68" fillId="12" borderId="14" xfId="0" applyNumberFormat="1" applyFont="1" applyFill="1" applyBorder="1" applyAlignment="1">
      <alignment horizontal="center"/>
    </xf>
    <xf numFmtId="167" fontId="65" fillId="24" borderId="10" xfId="0" applyNumberFormat="1" applyFont="1" applyFill="1" applyBorder="1" applyAlignment="1">
      <alignment vertical="center"/>
    </xf>
    <xf numFmtId="167" fontId="65" fillId="24" borderId="12" xfId="0" applyNumberFormat="1" applyFont="1" applyFill="1" applyBorder="1" applyAlignment="1">
      <alignment vertical="center"/>
    </xf>
    <xf numFmtId="167" fontId="65" fillId="24" borderId="15" xfId="0" applyNumberFormat="1" applyFont="1" applyFill="1" applyBorder="1" applyAlignment="1">
      <alignment vertical="center"/>
    </xf>
    <xf numFmtId="167" fontId="65" fillId="15" borderId="8" xfId="0" applyNumberFormat="1" applyFont="1" applyFill="1" applyBorder="1" applyAlignment="1">
      <alignment horizontal="center" vertical="center"/>
    </xf>
    <xf numFmtId="167" fontId="55" fillId="24" borderId="2" xfId="0" applyNumberFormat="1" applyFont="1" applyFill="1" applyBorder="1" applyAlignment="1">
      <alignment horizontal="center" vertical="center"/>
    </xf>
    <xf numFmtId="14" fontId="55" fillId="24" borderId="8" xfId="0" applyNumberFormat="1" applyFont="1" applyFill="1" applyBorder="1" applyAlignment="1">
      <alignment horizontal="center" vertical="center"/>
    </xf>
    <xf numFmtId="0" fontId="4" fillId="21" borderId="38" xfId="0" applyFont="1" applyFill="1" applyBorder="1" applyAlignment="1">
      <alignment horizontal="center" vertical="center" wrapText="1"/>
    </xf>
    <xf numFmtId="0" fontId="37" fillId="0" borderId="29" xfId="0" applyFont="1" applyBorder="1"/>
    <xf numFmtId="0" fontId="37" fillId="0" borderId="29" xfId="0" applyFont="1" applyBorder="1" applyAlignment="1">
      <alignment horizontal="center" vertical="center"/>
    </xf>
    <xf numFmtId="20" fontId="37" fillId="0" borderId="29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32" xfId="0" applyFont="1" applyBorder="1"/>
    <xf numFmtId="0" fontId="37" fillId="0" borderId="35" xfId="0" applyFont="1" applyBorder="1"/>
    <xf numFmtId="0" fontId="37" fillId="0" borderId="35" xfId="0" applyFont="1" applyBorder="1" applyAlignment="1">
      <alignment horizontal="center" vertical="center"/>
    </xf>
    <xf numFmtId="0" fontId="37" fillId="0" borderId="30" xfId="0" applyFont="1" applyBorder="1"/>
    <xf numFmtId="0" fontId="37" fillId="0" borderId="30" xfId="0" applyFont="1" applyBorder="1" applyAlignment="1">
      <alignment horizontal="center" vertical="center"/>
    </xf>
    <xf numFmtId="0" fontId="37" fillId="0" borderId="1" xfId="0" applyFont="1" applyBorder="1" applyAlignment="1">
      <alignment horizontal="left" shrinkToFit="1"/>
    </xf>
    <xf numFmtId="0" fontId="37" fillId="0" borderId="1" xfId="0" applyFont="1" applyBorder="1" applyAlignment="1">
      <alignment shrinkToFit="1"/>
    </xf>
    <xf numFmtId="0" fontId="37" fillId="0" borderId="32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4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 wrapText="1"/>
    </xf>
    <xf numFmtId="0" fontId="1" fillId="0" borderId="1" xfId="8" applyFont="1" applyFill="1" applyAlignment="1">
      <alignment horizontal="left" vertical="center"/>
    </xf>
    <xf numFmtId="0" fontId="37" fillId="0" borderId="5" xfId="0" applyFont="1" applyBorder="1"/>
    <xf numFmtId="0" fontId="39" fillId="0" borderId="1" xfId="8" applyFont="1" applyFill="1" applyAlignment="1">
      <alignment horizontal="left"/>
    </xf>
    <xf numFmtId="20" fontId="37" fillId="0" borderId="1" xfId="0" applyNumberFormat="1" applyFont="1" applyBorder="1" applyAlignment="1">
      <alignment horizontal="center" vertical="center"/>
    </xf>
    <xf numFmtId="166" fontId="9" fillId="12" borderId="10" xfId="4" applyNumberFormat="1" applyFont="1" applyFill="1" applyBorder="1" applyAlignment="1">
      <alignment horizontal="right"/>
    </xf>
    <xf numFmtId="1" fontId="41" fillId="12" borderId="12" xfId="4" applyNumberFormat="1" applyFont="1" applyFill="1" applyBorder="1" applyAlignment="1">
      <alignment horizontal="right"/>
    </xf>
    <xf numFmtId="0" fontId="22" fillId="12" borderId="31" xfId="4" applyFont="1" applyFill="1" applyBorder="1" applyAlignment="1">
      <alignment horizontal="center" vertical="center"/>
    </xf>
    <xf numFmtId="167" fontId="68" fillId="13" borderId="4" xfId="0" applyNumberFormat="1" applyFont="1" applyFill="1" applyBorder="1" applyAlignment="1">
      <alignment horizontal="center"/>
    </xf>
    <xf numFmtId="167" fontId="67" fillId="15" borderId="57" xfId="0" applyNumberFormat="1" applyFont="1" applyFill="1" applyBorder="1" applyAlignment="1">
      <alignment horizontal="center" vertical="center" wrapText="1"/>
    </xf>
    <xf numFmtId="167" fontId="69" fillId="0" borderId="5" xfId="0" applyNumberFormat="1" applyFont="1" applyBorder="1" applyAlignment="1">
      <alignment horizontal="center"/>
    </xf>
    <xf numFmtId="20" fontId="69" fillId="0" borderId="5" xfId="0" applyNumberFormat="1" applyFont="1" applyBorder="1" applyAlignment="1">
      <alignment horizontal="center"/>
    </xf>
    <xf numFmtId="167" fontId="68" fillId="13" borderId="15" xfId="0" applyNumberFormat="1" applyFont="1" applyFill="1" applyBorder="1" applyAlignment="1">
      <alignment horizontal="center"/>
    </xf>
    <xf numFmtId="167" fontId="67" fillId="15" borderId="41" xfId="0" applyNumberFormat="1" applyFont="1" applyFill="1" applyBorder="1" applyAlignment="1">
      <alignment horizontal="center" vertical="center" wrapText="1"/>
    </xf>
    <xf numFmtId="167" fontId="67" fillId="15" borderId="44" xfId="0" applyNumberFormat="1" applyFont="1" applyFill="1" applyBorder="1" applyAlignment="1">
      <alignment horizontal="center" vertical="center" wrapText="1"/>
    </xf>
    <xf numFmtId="167" fontId="65" fillId="24" borderId="0" xfId="0" applyNumberFormat="1" applyFont="1" applyFill="1" applyAlignment="1">
      <alignment vertical="center"/>
    </xf>
    <xf numFmtId="167" fontId="65" fillId="24" borderId="9" xfId="0" applyNumberFormat="1" applyFont="1" applyFill="1" applyBorder="1" applyAlignment="1">
      <alignment vertical="center"/>
    </xf>
    <xf numFmtId="167" fontId="65" fillId="24" borderId="14" xfId="0" applyNumberFormat="1" applyFont="1" applyFill="1" applyBorder="1" applyAlignment="1">
      <alignment vertical="center"/>
    </xf>
    <xf numFmtId="167" fontId="67" fillId="15" borderId="21" xfId="0" applyNumberFormat="1" applyFont="1" applyFill="1" applyBorder="1" applyAlignment="1">
      <alignment horizontal="center" vertical="center" wrapText="1"/>
    </xf>
    <xf numFmtId="167" fontId="67" fillId="15" borderId="22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left" vertical="center"/>
    </xf>
    <xf numFmtId="0" fontId="60" fillId="12" borderId="4" xfId="4" applyFont="1" applyFill="1" applyBorder="1" applyAlignment="1">
      <alignment horizontal="right" shrinkToFit="1"/>
    </xf>
    <xf numFmtId="0" fontId="25" fillId="0" borderId="1" xfId="9" applyFill="1">
      <alignment horizontal="center" vertical="center"/>
    </xf>
    <xf numFmtId="20" fontId="25" fillId="0" borderId="1" xfId="9" applyNumberFormat="1" applyFill="1">
      <alignment horizontal="center" vertical="center"/>
    </xf>
    <xf numFmtId="4" fontId="25" fillId="0" borderId="1" xfId="9" applyNumberFormat="1" applyFill="1">
      <alignment horizontal="center" vertical="center"/>
    </xf>
    <xf numFmtId="16" fontId="25" fillId="0" borderId="1" xfId="9" applyNumberFormat="1" applyFill="1">
      <alignment horizontal="center" vertical="center"/>
    </xf>
    <xf numFmtId="14" fontId="25" fillId="0" borderId="1" xfId="9" applyNumberFormat="1" applyFill="1">
      <alignment horizontal="center" vertical="center"/>
    </xf>
    <xf numFmtId="2" fontId="25" fillId="0" borderId="1" xfId="9" applyNumberFormat="1" applyFill="1">
      <alignment horizontal="center" vertical="center"/>
    </xf>
    <xf numFmtId="3" fontId="25" fillId="0" borderId="1" xfId="9" applyNumberFormat="1" applyFill="1">
      <alignment horizontal="center" vertical="center"/>
    </xf>
    <xf numFmtId="0" fontId="52" fillId="12" borderId="8" xfId="4" applyFont="1" applyFill="1" applyBorder="1" applyAlignment="1">
      <alignment horizontal="left" vertical="center"/>
    </xf>
    <xf numFmtId="0" fontId="52" fillId="12" borderId="11" xfId="4" applyFont="1" applyFill="1" applyBorder="1" applyAlignment="1">
      <alignment horizontal="left" vertical="center"/>
    </xf>
    <xf numFmtId="0" fontId="21" fillId="12" borderId="10" xfId="4" applyFont="1" applyFill="1" applyBorder="1" applyAlignment="1">
      <alignment horizontal="left" vertical="center"/>
    </xf>
    <xf numFmtId="0" fontId="21" fillId="12" borderId="12" xfId="4" applyFont="1" applyFill="1" applyBorder="1" applyAlignment="1">
      <alignment horizontal="left" vertical="center"/>
    </xf>
    <xf numFmtId="169" fontId="72" fillId="12" borderId="13" xfId="4" applyNumberFormat="1" applyFont="1" applyFill="1" applyBorder="1" applyAlignment="1">
      <alignment horizontal="center" vertical="top"/>
    </xf>
    <xf numFmtId="169" fontId="72" fillId="12" borderId="14" xfId="4" applyNumberFormat="1" applyFont="1" applyFill="1" applyBorder="1" applyAlignment="1">
      <alignment horizontal="center" vertical="top"/>
    </xf>
    <xf numFmtId="169" fontId="72" fillId="12" borderId="15" xfId="4" applyNumberFormat="1" applyFont="1" applyFill="1" applyBorder="1" applyAlignment="1">
      <alignment horizontal="center" vertical="top"/>
    </xf>
    <xf numFmtId="168" fontId="71" fillId="12" borderId="8" xfId="4" applyNumberFormat="1" applyFont="1" applyFill="1" applyBorder="1" applyAlignment="1">
      <alignment horizontal="center" vertical="center"/>
    </xf>
    <xf numFmtId="168" fontId="71" fillId="12" borderId="9" xfId="4" applyNumberFormat="1" applyFont="1" applyFill="1" applyBorder="1" applyAlignment="1">
      <alignment horizontal="center" vertical="center"/>
    </xf>
    <xf numFmtId="168" fontId="71" fillId="12" borderId="10" xfId="4" applyNumberFormat="1" applyFont="1" applyFill="1" applyBorder="1" applyAlignment="1">
      <alignment horizontal="center" vertical="center"/>
    </xf>
    <xf numFmtId="0" fontId="70" fillId="12" borderId="11" xfId="4" applyFont="1" applyFill="1" applyBorder="1" applyAlignment="1">
      <alignment horizontal="center" vertical="center" wrapText="1"/>
    </xf>
    <xf numFmtId="0" fontId="70" fillId="12" borderId="0" xfId="4" applyFont="1" applyFill="1" applyAlignment="1">
      <alignment horizontal="center" vertical="center" wrapText="1"/>
    </xf>
    <xf numFmtId="0" fontId="70" fillId="12" borderId="12" xfId="4" applyFont="1" applyFill="1" applyBorder="1" applyAlignment="1">
      <alignment horizontal="center" vertical="center" wrapText="1"/>
    </xf>
    <xf numFmtId="0" fontId="15" fillId="12" borderId="13" xfId="4" applyFont="1" applyFill="1" applyBorder="1" applyAlignment="1">
      <alignment horizontal="center" vertical="center"/>
    </xf>
    <xf numFmtId="0" fontId="15" fillId="12" borderId="14" xfId="4" applyFont="1" applyFill="1" applyBorder="1" applyAlignment="1">
      <alignment horizontal="center" vertical="center"/>
    </xf>
    <xf numFmtId="0" fontId="15" fillId="12" borderId="15" xfId="4" applyFont="1" applyFill="1" applyBorder="1" applyAlignment="1">
      <alignment horizontal="center" vertical="center"/>
    </xf>
    <xf numFmtId="0" fontId="61" fillId="12" borderId="0" xfId="4" applyFont="1" applyFill="1" applyAlignment="1">
      <alignment horizontal="right"/>
    </xf>
    <xf numFmtId="0" fontId="61" fillId="12" borderId="12" xfId="4" applyFont="1" applyFill="1" applyBorder="1" applyAlignment="1">
      <alignment horizontal="right"/>
    </xf>
    <xf numFmtId="0" fontId="18" fillId="12" borderId="0" xfId="4" applyFont="1" applyFill="1" applyAlignment="1">
      <alignment horizontal="right"/>
    </xf>
    <xf numFmtId="0" fontId="18" fillId="12" borderId="12" xfId="4" applyFont="1" applyFill="1" applyBorder="1" applyAlignment="1">
      <alignment horizontal="right"/>
    </xf>
    <xf numFmtId="0" fontId="15" fillId="12" borderId="2" xfId="4" applyFont="1" applyFill="1" applyBorder="1" applyAlignment="1">
      <alignment horizontal="center" wrapText="1"/>
    </xf>
    <xf numFmtId="0" fontId="15" fillId="12" borderId="3" xfId="4" applyFont="1" applyFill="1" applyBorder="1" applyAlignment="1">
      <alignment horizontal="center" wrapText="1"/>
    </xf>
    <xf numFmtId="0" fontId="15" fillId="12" borderId="4" xfId="4" applyFont="1" applyFill="1" applyBorder="1" applyAlignment="1">
      <alignment horizontal="center" wrapText="1"/>
    </xf>
    <xf numFmtId="0" fontId="56" fillId="12" borderId="54" xfId="4" applyFont="1" applyFill="1" applyBorder="1" applyAlignment="1">
      <alignment horizontal="center"/>
    </xf>
    <xf numFmtId="0" fontId="56" fillId="12" borderId="55" xfId="4" applyFont="1" applyFill="1" applyBorder="1" applyAlignment="1">
      <alignment horizontal="center"/>
    </xf>
    <xf numFmtId="0" fontId="56" fillId="12" borderId="56" xfId="4" applyFont="1" applyFill="1" applyBorder="1" applyAlignment="1">
      <alignment horizontal="center"/>
    </xf>
    <xf numFmtId="164" fontId="22" fillId="23" borderId="14" xfId="4" applyNumberFormat="1" applyFont="1" applyFill="1" applyBorder="1" applyAlignment="1">
      <alignment horizontal="center" vertical="center"/>
    </xf>
    <xf numFmtId="0" fontId="41" fillId="16" borderId="3" xfId="0" applyFont="1" applyFill="1" applyBorder="1" applyAlignment="1">
      <alignment horizontal="center" wrapText="1"/>
    </xf>
    <xf numFmtId="0" fontId="41" fillId="16" borderId="37" xfId="0" applyFont="1" applyFill="1" applyBorder="1" applyAlignment="1">
      <alignment horizontal="center" wrapText="1"/>
    </xf>
    <xf numFmtId="0" fontId="41" fillId="16" borderId="13" xfId="0" applyFont="1" applyFill="1" applyBorder="1" applyAlignment="1">
      <alignment horizontal="center" vertical="center" wrapText="1"/>
    </xf>
    <xf numFmtId="0" fontId="41" fillId="16" borderId="15" xfId="0" applyFont="1" applyFill="1" applyBorder="1" applyAlignment="1">
      <alignment horizontal="center" vertical="center" wrapText="1"/>
    </xf>
    <xf numFmtId="14" fontId="44" fillId="15" borderId="2" xfId="4" applyNumberFormat="1" applyFont="1" applyFill="1" applyBorder="1" applyAlignment="1">
      <alignment horizontal="center" vertical="center"/>
    </xf>
    <xf numFmtId="14" fontId="44" fillId="15" borderId="3" xfId="4" applyNumberFormat="1" applyFont="1" applyFill="1" applyBorder="1" applyAlignment="1">
      <alignment horizontal="center" vertical="center"/>
    </xf>
    <xf numFmtId="14" fontId="62" fillId="15" borderId="2" xfId="4" applyNumberFormat="1" applyFont="1" applyFill="1" applyBorder="1" applyAlignment="1">
      <alignment horizontal="center" vertical="center"/>
    </xf>
    <xf numFmtId="14" fontId="62" fillId="15" borderId="3" xfId="4" applyNumberFormat="1" applyFont="1" applyFill="1" applyBorder="1" applyAlignment="1">
      <alignment horizontal="center" vertical="center"/>
    </xf>
    <xf numFmtId="14" fontId="62" fillId="15" borderId="4" xfId="4" applyNumberFormat="1" applyFont="1" applyFill="1" applyBorder="1" applyAlignment="1">
      <alignment horizontal="center" vertical="center"/>
    </xf>
    <xf numFmtId="170" fontId="64" fillId="15" borderId="2" xfId="4" applyNumberFormat="1" applyFont="1" applyFill="1" applyBorder="1" applyAlignment="1">
      <alignment horizontal="center" vertical="center" shrinkToFit="1"/>
    </xf>
    <xf numFmtId="170" fontId="64" fillId="15" borderId="3" xfId="4" applyNumberFormat="1" applyFont="1" applyFill="1" applyBorder="1" applyAlignment="1">
      <alignment horizontal="center" vertical="center" shrinkToFit="1"/>
    </xf>
    <xf numFmtId="170" fontId="64" fillId="15" borderId="4" xfId="4" applyNumberFormat="1" applyFont="1" applyFill="1" applyBorder="1" applyAlignment="1">
      <alignment horizontal="center" vertical="center" shrinkToFit="1"/>
    </xf>
    <xf numFmtId="0" fontId="41" fillId="16" borderId="13" xfId="0" applyFont="1" applyFill="1" applyBorder="1" applyAlignment="1">
      <alignment horizontal="center" wrapText="1"/>
    </xf>
    <xf numFmtId="0" fontId="41" fillId="16" borderId="15" xfId="0" applyFont="1" applyFill="1" applyBorder="1" applyAlignment="1">
      <alignment horizontal="center" wrapText="1"/>
    </xf>
    <xf numFmtId="14" fontId="44" fillId="15" borderId="8" xfId="4" applyNumberFormat="1" applyFont="1" applyFill="1" applyBorder="1" applyAlignment="1">
      <alignment horizontal="center" vertical="center"/>
    </xf>
    <xf numFmtId="14" fontId="44" fillId="15" borderId="9" xfId="4" applyNumberFormat="1" applyFont="1" applyFill="1" applyBorder="1" applyAlignment="1">
      <alignment horizontal="center" vertical="center"/>
    </xf>
    <xf numFmtId="14" fontId="64" fillId="15" borderId="2" xfId="4" applyNumberFormat="1" applyFont="1" applyFill="1" applyBorder="1" applyAlignment="1">
      <alignment horizontal="center" vertical="center"/>
    </xf>
    <xf numFmtId="14" fontId="64" fillId="15" borderId="3" xfId="4" applyNumberFormat="1" applyFont="1" applyFill="1" applyBorder="1" applyAlignment="1">
      <alignment horizontal="center" vertical="center"/>
    </xf>
    <xf numFmtId="14" fontId="64" fillId="15" borderId="4" xfId="4" applyNumberFormat="1" applyFont="1" applyFill="1" applyBorder="1" applyAlignment="1">
      <alignment horizontal="center" vertical="center"/>
    </xf>
    <xf numFmtId="14" fontId="44" fillId="15" borderId="4" xfId="4" applyNumberFormat="1" applyFont="1" applyFill="1" applyBorder="1" applyAlignment="1">
      <alignment horizontal="center" vertical="center"/>
    </xf>
    <xf numFmtId="14" fontId="64" fillId="15" borderId="9" xfId="4" applyNumberFormat="1" applyFont="1" applyFill="1" applyBorder="1" applyAlignment="1">
      <alignment horizontal="center" vertical="center"/>
    </xf>
    <xf numFmtId="14" fontId="64" fillId="15" borderId="10" xfId="4" applyNumberFormat="1" applyFont="1" applyFill="1" applyBorder="1" applyAlignment="1">
      <alignment horizontal="center" vertical="center"/>
    </xf>
    <xf numFmtId="0" fontId="41" fillId="16" borderId="2" xfId="0" applyFont="1" applyFill="1" applyBorder="1" applyAlignment="1">
      <alignment horizontal="center" vertical="center" wrapText="1"/>
    </xf>
    <xf numFmtId="0" fontId="41" fillId="16" borderId="4" xfId="0" applyFont="1" applyFill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167" fontId="66" fillId="24" borderId="8" xfId="0" applyNumberFormat="1" applyFont="1" applyFill="1" applyBorder="1" applyAlignment="1">
      <alignment horizontal="center" vertical="center"/>
    </xf>
    <xf numFmtId="167" fontId="66" fillId="24" borderId="9" xfId="0" applyNumberFormat="1" applyFont="1" applyFill="1" applyBorder="1" applyAlignment="1">
      <alignment horizontal="center" vertical="center"/>
    </xf>
    <xf numFmtId="167" fontId="66" fillId="24" borderId="11" xfId="0" applyNumberFormat="1" applyFont="1" applyFill="1" applyBorder="1" applyAlignment="1">
      <alignment horizontal="center" vertical="center"/>
    </xf>
    <xf numFmtId="167" fontId="66" fillId="24" borderId="0" xfId="0" applyNumberFormat="1" applyFont="1" applyFill="1" applyAlignment="1">
      <alignment horizontal="center" vertical="center"/>
    </xf>
    <xf numFmtId="167" fontId="66" fillId="24" borderId="13" xfId="0" applyNumberFormat="1" applyFont="1" applyFill="1" applyBorder="1" applyAlignment="1">
      <alignment horizontal="center" vertical="center"/>
    </xf>
    <xf numFmtId="167" fontId="66" fillId="24" borderId="14" xfId="0" applyNumberFormat="1" applyFont="1" applyFill="1" applyBorder="1" applyAlignment="1">
      <alignment horizontal="center" vertical="center"/>
    </xf>
    <xf numFmtId="167" fontId="66" fillId="24" borderId="10" xfId="0" applyNumberFormat="1" applyFont="1" applyFill="1" applyBorder="1" applyAlignment="1">
      <alignment horizontal="center" vertical="center"/>
    </xf>
    <xf numFmtId="167" fontId="66" fillId="24" borderId="12" xfId="0" applyNumberFormat="1" applyFont="1" applyFill="1" applyBorder="1" applyAlignment="1">
      <alignment horizontal="center" vertical="center"/>
    </xf>
    <xf numFmtId="167" fontId="66" fillId="24" borderId="15" xfId="0" applyNumberFormat="1" applyFont="1" applyFill="1" applyBorder="1" applyAlignment="1">
      <alignment horizontal="center" vertical="center"/>
    </xf>
    <xf numFmtId="14" fontId="33" fillId="12" borderId="3" xfId="4" applyNumberFormat="1" applyFont="1" applyFill="1" applyBorder="1" applyAlignment="1">
      <alignment horizontal="center"/>
    </xf>
    <xf numFmtId="0" fontId="22" fillId="12" borderId="13" xfId="4" applyFont="1" applyFill="1" applyBorder="1" applyAlignment="1">
      <alignment horizontal="center"/>
    </xf>
    <xf numFmtId="0" fontId="22" fillId="12" borderId="14" xfId="4" applyFont="1" applyFill="1" applyBorder="1" applyAlignment="1">
      <alignment horizontal="center"/>
    </xf>
    <xf numFmtId="0" fontId="22" fillId="12" borderId="15" xfId="4" applyFont="1" applyFill="1" applyBorder="1" applyAlignment="1">
      <alignment horizontal="center"/>
    </xf>
    <xf numFmtId="0" fontId="10" fillId="12" borderId="11" xfId="4" applyFont="1" applyFill="1" applyBorder="1" applyAlignment="1">
      <alignment horizontal="left" vertical="center"/>
    </xf>
    <xf numFmtId="0" fontId="10" fillId="12" borderId="0" xfId="4" applyFont="1" applyFill="1" applyAlignment="1">
      <alignment horizontal="left" vertical="center"/>
    </xf>
    <xf numFmtId="0" fontId="10" fillId="12" borderId="12" xfId="4" applyFont="1" applyFill="1" applyBorder="1" applyAlignment="1">
      <alignment horizontal="left" vertical="center"/>
    </xf>
    <xf numFmtId="0" fontId="10" fillId="12" borderId="13" xfId="4" applyFont="1" applyFill="1" applyBorder="1" applyAlignment="1">
      <alignment horizontal="left" vertical="center"/>
    </xf>
    <xf numFmtId="0" fontId="10" fillId="12" borderId="14" xfId="4" applyFont="1" applyFill="1" applyBorder="1" applyAlignment="1">
      <alignment horizontal="left" vertical="center"/>
    </xf>
    <xf numFmtId="0" fontId="10" fillId="12" borderId="15" xfId="4" applyFont="1" applyFill="1" applyBorder="1" applyAlignment="1">
      <alignment horizontal="left" vertical="center"/>
    </xf>
    <xf numFmtId="0" fontId="14" fillId="12" borderId="11" xfId="4" applyFont="1" applyFill="1" applyBorder="1" applyAlignment="1">
      <alignment horizontal="center" vertical="center" wrapText="1"/>
    </xf>
    <xf numFmtId="0" fontId="14" fillId="12" borderId="0" xfId="4" applyFont="1" applyFill="1" applyAlignment="1">
      <alignment horizontal="center" vertical="center" wrapText="1"/>
    </xf>
    <xf numFmtId="0" fontId="14" fillId="12" borderId="12" xfId="4" applyFont="1" applyFill="1" applyBorder="1" applyAlignment="1">
      <alignment horizontal="center" vertical="center" wrapText="1"/>
    </xf>
    <xf numFmtId="0" fontId="16" fillId="12" borderId="13" xfId="4" applyFont="1" applyFill="1" applyBorder="1" applyAlignment="1">
      <alignment horizontal="center" vertical="center"/>
    </xf>
    <xf numFmtId="0" fontId="16" fillId="12" borderId="14" xfId="4" applyFont="1" applyFill="1" applyBorder="1" applyAlignment="1">
      <alignment horizontal="center" vertical="center"/>
    </xf>
    <xf numFmtId="0" fontId="16" fillId="12" borderId="15" xfId="4" applyFont="1" applyFill="1" applyBorder="1" applyAlignment="1">
      <alignment horizontal="center" vertical="center"/>
    </xf>
    <xf numFmtId="0" fontId="32" fillId="12" borderId="0" xfId="4" applyFont="1" applyFill="1" applyAlignment="1">
      <alignment horizontal="right"/>
    </xf>
    <xf numFmtId="0" fontId="32" fillId="12" borderId="12" xfId="4" applyFont="1" applyFill="1" applyBorder="1" applyAlignment="1">
      <alignment horizontal="right"/>
    </xf>
    <xf numFmtId="0" fontId="25" fillId="0" borderId="1" xfId="9" applyFill="1" applyAlignment="1">
      <alignment horizontal="left" vertical="center"/>
    </xf>
  </cellXfs>
  <cellStyles count="12">
    <cellStyle name="Awaiting Timeslot" xfId="1" xr:uid="{00000000-0005-0000-0000-000000000000}"/>
    <cellStyle name="Good" xfId="2" builtinId="26"/>
    <cellStyle name="Internals" xfId="3" xr:uid="{00000000-0005-0000-0000-000002000000}"/>
    <cellStyle name="Normal" xfId="0" builtinId="0"/>
    <cellStyle name="Normal 2" xfId="4" xr:uid="{00000000-0005-0000-0000-000004000000}"/>
    <cellStyle name="Not Released" xfId="5" xr:uid="{00000000-0005-0000-0000-000005000000}"/>
    <cellStyle name="Note 2" xfId="6" xr:uid="{00000000-0005-0000-0000-000006000000}"/>
    <cellStyle name="Pallets" xfId="7" xr:uid="{00000000-0005-0000-0000-000007000000}"/>
    <cellStyle name="PGI'd" xfId="8" xr:uid="{00000000-0005-0000-0000-000008000000}"/>
    <cellStyle name="Released" xfId="9" xr:uid="{00000000-0005-0000-0000-000009000000}"/>
    <cellStyle name="Shipment St" xfId="10" xr:uid="{00000000-0005-0000-0000-00000A000000}"/>
    <cellStyle name="Still to Book" xfId="11" xr:uid="{00000000-0005-0000-0000-00000B000000}"/>
  </cellStyles>
  <dxfs count="293"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A8E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</xdr:row>
      <xdr:rowOff>40821</xdr:rowOff>
    </xdr:from>
    <xdr:to>
      <xdr:col>4</xdr:col>
      <xdr:colOff>12700</xdr:colOff>
      <xdr:row>3</xdr:row>
      <xdr:rowOff>836840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143" y="217714"/>
          <a:ext cx="7251700" cy="1408340"/>
        </a:xfrm>
        <a:prstGeom prst="rect">
          <a:avLst/>
        </a:prstGeom>
        <a:ln w="28575">
          <a:solidFill>
            <a:sysClr val="windowText" lastClr="000000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endParaRPr lang="en-AU"/>
        </a:p>
      </xdr:txBody>
    </xdr:sp>
    <xdr:clientData/>
  </xdr:twoCellAnchor>
  <xdr:twoCellAnchor>
    <xdr:from>
      <xdr:col>1</xdr:col>
      <xdr:colOff>238124</xdr:colOff>
      <xdr:row>2</xdr:row>
      <xdr:rowOff>27214</xdr:rowOff>
    </xdr:from>
    <xdr:to>
      <xdr:col>2</xdr:col>
      <xdr:colOff>381000</xdr:colOff>
      <xdr:row>4</xdr:row>
      <xdr:rowOff>13607</xdr:rowOff>
    </xdr:to>
    <xdr:pic>
      <xdr:nvPicPr>
        <xdr:cNvPr id="2050" name="Picture 1" descr="linfox-logoweb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6660" y="367393"/>
          <a:ext cx="2347233" cy="1279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557892</xdr:colOff>
      <xdr:row>1</xdr:row>
      <xdr:rowOff>27213</xdr:rowOff>
    </xdr:from>
    <xdr:to>
      <xdr:col>4</xdr:col>
      <xdr:colOff>27213</xdr:colOff>
      <xdr:row>3</xdr:row>
      <xdr:rowOff>830035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49" y="204106"/>
          <a:ext cx="3252107" cy="1415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76200</xdr:rowOff>
    </xdr:from>
    <xdr:to>
      <xdr:col>8</xdr:col>
      <xdr:colOff>2705099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0975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190500</xdr:colOff>
      <xdr:row>1</xdr:row>
      <xdr:rowOff>1</xdr:rowOff>
    </xdr:from>
    <xdr:to>
      <xdr:col>5</xdr:col>
      <xdr:colOff>28575</xdr:colOff>
      <xdr:row>1</xdr:row>
      <xdr:rowOff>838201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466726"/>
          <a:ext cx="2143125" cy="838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152400</xdr:rowOff>
        </xdr:from>
        <xdr:to>
          <xdr:col>21</xdr:col>
          <xdr:colOff>104775</xdr:colOff>
          <xdr:row>3</xdr:row>
          <xdr:rowOff>295275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2505075</xdr:colOff>
      <xdr:row>1</xdr:row>
      <xdr:rowOff>76200</xdr:rowOff>
    </xdr:from>
    <xdr:to>
      <xdr:col>8</xdr:col>
      <xdr:colOff>2743199</xdr:colOff>
      <xdr:row>1</xdr:row>
      <xdr:rowOff>790575</xdr:rowOff>
    </xdr:to>
    <xdr:pic>
      <xdr:nvPicPr>
        <xdr:cNvPr id="3" name="Picture 1" descr="linfox-logoweb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542925"/>
          <a:ext cx="28193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371475</xdr:colOff>
      <xdr:row>1</xdr:row>
      <xdr:rowOff>0</xdr:rowOff>
    </xdr:from>
    <xdr:to>
      <xdr:col>5</xdr:col>
      <xdr:colOff>57150</xdr:colOff>
      <xdr:row>1</xdr:row>
      <xdr:rowOff>830745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" y="466725"/>
          <a:ext cx="1990725" cy="8307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</xdr:row>
          <xdr:rowOff>180975</xdr:rowOff>
        </xdr:from>
        <xdr:to>
          <xdr:col>21</xdr:col>
          <xdr:colOff>114300</xdr:colOff>
          <xdr:row>3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2505075</xdr:colOff>
      <xdr:row>1</xdr:row>
      <xdr:rowOff>76200</xdr:rowOff>
    </xdr:from>
    <xdr:to>
      <xdr:col>8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266701</xdr:colOff>
      <xdr:row>0</xdr:row>
      <xdr:rowOff>447675</xdr:rowOff>
    </xdr:from>
    <xdr:to>
      <xdr:col>5</xdr:col>
      <xdr:colOff>1</xdr:colOff>
      <xdr:row>1</xdr:row>
      <xdr:rowOff>831569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1" y="447675"/>
          <a:ext cx="2038350" cy="8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</xdr:row>
          <xdr:rowOff>266700</xdr:rowOff>
        </xdr:from>
        <xdr:to>
          <xdr:col>21</xdr:col>
          <xdr:colOff>104775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2505075</xdr:colOff>
      <xdr:row>1</xdr:row>
      <xdr:rowOff>76200</xdr:rowOff>
    </xdr:from>
    <xdr:to>
      <xdr:col>8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342901</xdr:colOff>
      <xdr:row>1</xdr:row>
      <xdr:rowOff>9526</xdr:rowOff>
    </xdr:from>
    <xdr:to>
      <xdr:col>5</xdr:col>
      <xdr:colOff>19051</xdr:colOff>
      <xdr:row>1</xdr:row>
      <xdr:rowOff>836296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951" y="476251"/>
          <a:ext cx="1981200" cy="8267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</xdr:row>
          <xdr:rowOff>152400</xdr:rowOff>
        </xdr:from>
        <xdr:to>
          <xdr:col>21</xdr:col>
          <xdr:colOff>114300</xdr:colOff>
          <xdr:row>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2505075</xdr:colOff>
      <xdr:row>1</xdr:row>
      <xdr:rowOff>76200</xdr:rowOff>
    </xdr:from>
    <xdr:to>
      <xdr:col>8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5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67650" y="542925"/>
          <a:ext cx="2705099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323850</xdr:colOff>
      <xdr:row>1</xdr:row>
      <xdr:rowOff>9525</xdr:rowOff>
    </xdr:from>
    <xdr:to>
      <xdr:col>5</xdr:col>
      <xdr:colOff>28575</xdr:colOff>
      <xdr:row>2</xdr:row>
      <xdr:rowOff>495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" y="476250"/>
          <a:ext cx="2009775" cy="838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</xdr:row>
          <xdr:rowOff>152400</xdr:rowOff>
        </xdr:from>
        <xdr:to>
          <xdr:col>21</xdr:col>
          <xdr:colOff>114300</xdr:colOff>
          <xdr:row>3</xdr:row>
          <xdr:rowOff>295275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2505075</xdr:colOff>
      <xdr:row>1</xdr:row>
      <xdr:rowOff>76200</xdr:rowOff>
    </xdr:from>
    <xdr:to>
      <xdr:col>8</xdr:col>
      <xdr:colOff>2743199</xdr:colOff>
      <xdr:row>1</xdr:row>
      <xdr:rowOff>790575</xdr:rowOff>
    </xdr:to>
    <xdr:pic>
      <xdr:nvPicPr>
        <xdr:cNvPr id="2" name="Picture 1" descr="linfox-logoweb">
          <a:extLst>
            <a:ext uri="{FF2B5EF4-FFF2-40B4-BE49-F238E27FC236}">
              <a16:creationId xmlns:a16="http://schemas.microsoft.com/office/drawing/2014/main" id="{00000000-0008-0000-0600-000002000000}"/>
            </a:ext>
            <a:ext uri="{147F2762-F138-4A5C-976F-8EAC2B608ADB}">
              <a16:predDERef xmlns:a16="http://schemas.microsoft.com/office/drawing/2014/main" pred="{827B5315-DAF2-DB4B-A8B4-D7289EB105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0" y="542925"/>
          <a:ext cx="2486024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323850</xdr:colOff>
      <xdr:row>1</xdr:row>
      <xdr:rowOff>9525</xdr:rowOff>
    </xdr:from>
    <xdr:to>
      <xdr:col>5</xdr:col>
      <xdr:colOff>28575</xdr:colOff>
      <xdr:row>2</xdr:row>
      <xdr:rowOff>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" y="476250"/>
          <a:ext cx="2009775" cy="8386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</xdr:row>
          <xdr:rowOff>152400</xdr:rowOff>
        </xdr:from>
        <xdr:to>
          <xdr:col>21</xdr:col>
          <xdr:colOff>114300</xdr:colOff>
          <xdr:row>3</xdr:row>
          <xdr:rowOff>295275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Cover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3695700</xdr:colOff>
      <xdr:row>1</xdr:row>
      <xdr:rowOff>47625</xdr:rowOff>
    </xdr:from>
    <xdr:to>
      <xdr:col>3</xdr:col>
      <xdr:colOff>5743575</xdr:colOff>
      <xdr:row>1</xdr:row>
      <xdr:rowOff>1066800</xdr:rowOff>
    </xdr:to>
    <xdr:pic>
      <xdr:nvPicPr>
        <xdr:cNvPr id="4098" name="Picture 1" descr="linfox-logoweb">
          <a:extLst>
            <a:ext uri="{FF2B5EF4-FFF2-40B4-BE49-F238E27FC236}">
              <a16:creationId xmlns:a16="http://schemas.microsoft.com/office/drawing/2014/main" id="{00000000-0008-0000-07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01125" y="238125"/>
          <a:ext cx="204787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0</xdr:colOff>
      <xdr:row>1</xdr:row>
      <xdr:rowOff>47625</xdr:rowOff>
    </xdr:from>
    <xdr:to>
      <xdr:col>6</xdr:col>
      <xdr:colOff>0</xdr:colOff>
      <xdr:row>1</xdr:row>
      <xdr:rowOff>1066800</xdr:rowOff>
    </xdr:to>
    <xdr:pic>
      <xdr:nvPicPr>
        <xdr:cNvPr id="4099" name="Picture 1" descr="linfox-logoweb">
          <a:extLst>
            <a:ext uri="{FF2B5EF4-FFF2-40B4-BE49-F238E27FC236}">
              <a16:creationId xmlns:a16="http://schemas.microsoft.com/office/drawing/2014/main" id="{00000000-0008-0000-0700-00000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6675" y="238125"/>
          <a:ext cx="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466726</xdr:colOff>
      <xdr:row>1</xdr:row>
      <xdr:rowOff>0</xdr:rowOff>
    </xdr:from>
    <xdr:to>
      <xdr:col>7</xdr:col>
      <xdr:colOff>1447801</xdr:colOff>
      <xdr:row>3</xdr:row>
      <xdr:rowOff>333375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1" y="342900"/>
          <a:ext cx="1943100" cy="10191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1</xdr:row>
      <xdr:rowOff>9525</xdr:rowOff>
    </xdr:from>
    <xdr:to>
      <xdr:col>8</xdr:col>
      <xdr:colOff>4457</xdr:colOff>
      <xdr:row>3</xdr:row>
      <xdr:rowOff>333375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62850" y="352425"/>
          <a:ext cx="2261882" cy="10096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238125</xdr:colOff>
      <xdr:row>1</xdr:row>
      <xdr:rowOff>57150</xdr:rowOff>
    </xdr:from>
    <xdr:to>
      <xdr:col>19</xdr:col>
      <xdr:colOff>809625</xdr:colOff>
      <xdr:row>1</xdr:row>
      <xdr:rowOff>866775</xdr:rowOff>
    </xdr:to>
    <xdr:pic>
      <xdr:nvPicPr>
        <xdr:cNvPr id="5122" name="Picture 1" descr="linfox-logoweb">
          <a:extLst>
            <a:ext uri="{FF2B5EF4-FFF2-40B4-BE49-F238E27FC236}">
              <a16:creationId xmlns:a16="http://schemas.microsoft.com/office/drawing/2014/main" id="{00000000-0008-0000-0A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59300" y="228600"/>
          <a:ext cx="160020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2</xdr:row>
      <xdr:rowOff>146277</xdr:rowOff>
    </xdr:from>
    <xdr:to>
      <xdr:col>3</xdr:col>
      <xdr:colOff>2918732</xdr:colOff>
      <xdr:row>3</xdr:row>
      <xdr:rowOff>836839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70782" y="479652"/>
          <a:ext cx="5867400" cy="1138237"/>
        </a:xfrm>
        <a:prstGeom prst="rect">
          <a:avLst/>
        </a:prstGeom>
        <a:ln w="28575">
          <a:solidFill>
            <a:sysClr val="windowText" lastClr="000000"/>
          </a:solidFill>
        </a:ln>
        <a:effectLst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endParaRPr lang="en-AU"/>
        </a:p>
      </xdr:txBody>
    </xdr:sp>
    <xdr:clientData/>
  </xdr:twoCellAnchor>
  <xdr:twoCellAnchor>
    <xdr:from>
      <xdr:col>1</xdr:col>
      <xdr:colOff>47625</xdr:colOff>
      <xdr:row>2</xdr:row>
      <xdr:rowOff>203489</xdr:rowOff>
    </xdr:from>
    <xdr:to>
      <xdr:col>2</xdr:col>
      <xdr:colOff>293543</xdr:colOff>
      <xdr:row>3</xdr:row>
      <xdr:rowOff>736889</xdr:rowOff>
    </xdr:to>
    <xdr:pic>
      <xdr:nvPicPr>
        <xdr:cNvPr id="6146" name="Picture 1" descr="linfox-logoweb">
          <a:extLst>
            <a:ext uri="{FF2B5EF4-FFF2-40B4-BE49-F238E27FC236}">
              <a16:creationId xmlns:a16="http://schemas.microsoft.com/office/drawing/2014/main" id="{00000000-0008-0000-0B00-00000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398" y="532534"/>
          <a:ext cx="1943100" cy="983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16.bin"/><Relationship Id="rId4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2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28.bin"/><Relationship Id="rId4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  <pageSetUpPr fitToPage="1"/>
  </sheetPr>
  <dimension ref="A1:K29"/>
  <sheetViews>
    <sheetView showRuler="0" zoomScale="70" zoomScaleNormal="70" workbookViewId="0">
      <selection activeCell="D21" sqref="D21"/>
    </sheetView>
  </sheetViews>
  <sheetFormatPr defaultColWidth="9.140625" defaultRowHeight="12.75" x14ac:dyDescent="0.2"/>
  <cols>
    <col min="1" max="1" width="3.85546875" style="2" customWidth="1"/>
    <col min="2" max="2" width="33" style="2" bestFit="1" customWidth="1"/>
    <col min="3" max="3" width="19" style="2" customWidth="1"/>
    <col min="4" max="4" width="56.7109375" style="2" customWidth="1"/>
    <col min="5" max="5" width="6.28515625" style="2" customWidth="1"/>
    <col min="6" max="7" width="9.140625" style="2" customWidth="1"/>
    <col min="8" max="8" width="26.140625" style="2" customWidth="1"/>
    <col min="9" max="9" width="34" style="2" customWidth="1"/>
    <col min="10" max="10" width="11.85546875" style="2" customWidth="1"/>
    <col min="11" max="16384" width="9.140625" style="2"/>
  </cols>
  <sheetData>
    <row r="1" spans="1:8" ht="13.5" thickBot="1" x14ac:dyDescent="0.25"/>
    <row r="2" spans="1:8" x14ac:dyDescent="0.2">
      <c r="A2" s="2">
        <v>1</v>
      </c>
      <c r="B2" s="54"/>
      <c r="C2" s="55"/>
      <c r="D2" s="56"/>
    </row>
    <row r="3" spans="1:8" ht="35.25" customHeight="1" x14ac:dyDescent="0.2">
      <c r="B3" s="57"/>
      <c r="D3" s="58"/>
    </row>
    <row r="4" spans="1:8" ht="66.75" customHeight="1" thickBot="1" x14ac:dyDescent="0.75">
      <c r="B4" s="59"/>
      <c r="C4" s="60"/>
      <c r="D4" s="61"/>
    </row>
    <row r="5" spans="1:8" ht="45" customHeight="1" thickBot="1" x14ac:dyDescent="0.55000000000000004">
      <c r="B5" s="282" t="s">
        <v>36</v>
      </c>
      <c r="C5" s="116"/>
      <c r="D5" s="284" t="s">
        <v>35</v>
      </c>
      <c r="H5" s="260" t="s">
        <v>655</v>
      </c>
    </row>
    <row r="6" spans="1:8" ht="46.5" customHeight="1" x14ac:dyDescent="0.2">
      <c r="B6" s="283"/>
      <c r="C6" s="171"/>
      <c r="D6" s="285"/>
    </row>
    <row r="7" spans="1:8" ht="5.25" customHeight="1" thickBot="1" x14ac:dyDescent="0.4">
      <c r="B7" s="62"/>
      <c r="C7" s="65"/>
      <c r="D7" s="66"/>
    </row>
    <row r="8" spans="1:8" ht="29.25" customHeight="1" x14ac:dyDescent="0.6">
      <c r="B8" s="67" t="s">
        <v>22</v>
      </c>
      <c r="C8" s="68"/>
      <c r="D8" s="69"/>
    </row>
    <row r="9" spans="1:8" ht="113.25" customHeight="1" thickBot="1" x14ac:dyDescent="0.25">
      <c r="B9" s="292">
        <f>IFERROR(VLOOKUP($H$5,Monday!$B$5:$S$68,7,FALSE),IFERROR(VLOOKUP('Cover Sheet'!$H$5,Tuesday!$B$5:$S$68,7,FALSE),IFERROR(VLOOKUP('Cover Sheet'!$H$5,Wednesday!$B$5:$S$68,7,FALSE),IFERROR(VLOOKUP('Cover Sheet'!$H$5,Thursday!$B$5:$S$68,7,FALSE),IFERROR(VLOOKUP('Cover Sheet'!$H$5,Friday!$B$5:$S$68,7,FALSE),IFERROR(VLOOKUP('Cover Sheet'!$H$5,Saturday!$B$5:$S$68,7,FALSE),))))))</f>
        <v>0</v>
      </c>
      <c r="C9" s="293"/>
      <c r="D9" s="294"/>
    </row>
    <row r="10" spans="1:8" ht="65.25" customHeight="1" thickBot="1" x14ac:dyDescent="0.65">
      <c r="B10" s="302" t="str">
        <f>IFERROR(VLOOKUP($H$5,Monday!$B$5:$S$68,8,FALSE),IFERROR(VLOOKUP('Cover Sheet'!$H$5,Tuesday!$B$5:$S$68,8,FALSE),IFERROR(VLOOKUP('Cover Sheet'!$H$5,Wednesday!$B$5:$S$68,8,FALSE),IFERROR(VLOOKUP('Cover Sheet'!$H$5,Thursday!$B$5:$S$68,8,FALSE),IFERROR(VLOOKUP('Cover Sheet'!$H$5,Friday!$B$5:$S$68,8,FALSE),IFERROR(VLOOKUP('Cover Sheet'!$H$5,Saturday!$B$5:$S$68,8,FALSE),))))))</f>
        <v/>
      </c>
      <c r="C10" s="303"/>
      <c r="D10" s="304"/>
    </row>
    <row r="11" spans="1:8" ht="27" hidden="1" customHeight="1" thickBot="1" x14ac:dyDescent="0.25">
      <c r="B11" s="295"/>
      <c r="C11" s="296"/>
      <c r="D11" s="297"/>
    </row>
    <row r="12" spans="1:8" ht="6" hidden="1" customHeight="1" thickBot="1" x14ac:dyDescent="0.65">
      <c r="B12" s="71"/>
      <c r="C12" s="65"/>
      <c r="D12" s="72"/>
    </row>
    <row r="13" spans="1:8" ht="39.950000000000003" customHeight="1" x14ac:dyDescent="0.6">
      <c r="B13" s="67" t="s">
        <v>23</v>
      </c>
      <c r="C13" s="73"/>
      <c r="D13" s="258">
        <f>IFERROR(VLOOKUP($H$5,Monday!$B$5:$S$68,2,FALSE),IFERROR(VLOOKUP('Cover Sheet'!$H$5,Tuesday!$B$5:$S$68,2,FALSE),IFERROR(VLOOKUP('Cover Sheet'!$H$5,Wednesday!$B$5:$S$68,2,FALSE),IFERROR(VLOOKUP('Cover Sheet'!$H$5,Thursday!$B$5:$S$68,2,FALSE),IFERROR(VLOOKUP('Cover Sheet'!$H$5,Friday!$B$5:$S$68,2,FALSE),IFERROR(VLOOKUP('Cover Sheet'!$H$5,Saturday!$B$5:$S$68,2,FALSE),))))))</f>
        <v>0</v>
      </c>
    </row>
    <row r="14" spans="1:8" ht="39.950000000000003" customHeight="1" x14ac:dyDescent="0.45">
      <c r="B14" s="202" t="s">
        <v>31</v>
      </c>
      <c r="C14" s="298">
        <f>IFERROR(VLOOKUP($H$5,Monday!$B$5:$S$68,3,FALSE),IFERROR(VLOOKUP('Cover Sheet'!$H$5,Tuesday!$B$5:$S$68,3,FALSE),IFERROR(VLOOKUP('Cover Sheet'!$H$5,Wednesday!$B$5:$S$68,3,FALSE),IFERROR(VLOOKUP('Cover Sheet'!$H$5,Thursday!$B$5:$S$68,3,FALSE),IFERROR(VLOOKUP('Cover Sheet'!$H$5,Friday!$B$5:$S$68,3,FALSE),IFERROR(VLOOKUP('Cover Sheet'!$H$5,Saturday!$B$5:$S$68,3,FALSE),))))))</f>
        <v>0</v>
      </c>
      <c r="D14" s="299"/>
    </row>
    <row r="15" spans="1:8" ht="6" customHeight="1" x14ac:dyDescent="0.6">
      <c r="B15" s="71"/>
      <c r="C15" s="65"/>
      <c r="D15" s="66"/>
    </row>
    <row r="16" spans="1:8" ht="39.950000000000003" hidden="1" customHeight="1" x14ac:dyDescent="0.6">
      <c r="B16" s="71" t="s">
        <v>25</v>
      </c>
      <c r="C16" s="300"/>
      <c r="D16" s="301"/>
    </row>
    <row r="17" spans="2:11" ht="6" customHeight="1" x14ac:dyDescent="0.6">
      <c r="B17" s="71"/>
      <c r="C17" s="65"/>
      <c r="D17" s="66"/>
    </row>
    <row r="18" spans="2:11" ht="29.25" customHeight="1" thickBot="1" x14ac:dyDescent="0.55000000000000004">
      <c r="B18" s="133" t="s">
        <v>488</v>
      </c>
      <c r="C18" s="134"/>
      <c r="D18" s="259">
        <f>IFERROR(VLOOKUP($H$5,Monday!$B$5:$S$68,5,FALSE),IFERROR(VLOOKUP('Cover Sheet'!$H$5,Tuesday!$B$5:$S$68,5,FALSE),IFERROR(VLOOKUP('Cover Sheet'!$H$5,Wednesday!$B$5:$S$68,5,FALSE),IFERROR(VLOOKUP('Cover Sheet'!$H$5,Thursday!$B$5:$S$68,5,FALSE),IFERROR(VLOOKUP('Cover Sheet'!$H$5,Friday!$B$5:$S$68,5,FALSE),IFERROR(VLOOKUP('Cover Sheet'!$H$5,Saturday!$B$5:$S$68,5,FALSE),))))))</f>
        <v>0</v>
      </c>
    </row>
    <row r="19" spans="2:11" ht="54.75" customHeight="1" thickBot="1" x14ac:dyDescent="0.75">
      <c r="B19" s="200" t="s">
        <v>50</v>
      </c>
      <c r="C19" s="201"/>
      <c r="D19" s="274">
        <f>IFERROR(VLOOKUP(H5,Monday!$B$5:$S$68,6,FALSE),IFERROR(VLOOKUP('Cover Sheet'!H5,Tuesday!$B$5:$S$68,6,FALSE),IFERROR(VLOOKUP('Cover Sheet'!H5,Wednesday!$B$5:$S$68,6,FALSE),IFERROR(VLOOKUP('Cover Sheet'!H5,Thursday!$B$5:$S$68,6,FALSE),IFERROR(VLOOKUP('Cover Sheet'!H5,Friday!$B$5:$S$68,6,FALSE),IFERROR(VLOOKUP('Cover Sheet'!$H$5,Saturday!$B$5:$S$68,6,FALSE),))))))</f>
        <v>0</v>
      </c>
      <c r="E19" s="65"/>
      <c r="F19" s="65"/>
      <c r="G19" s="65"/>
      <c r="H19" s="65"/>
      <c r="I19" s="65"/>
    </row>
    <row r="20" spans="2:11" ht="6" hidden="1" customHeight="1" thickBot="1" x14ac:dyDescent="0.65">
      <c r="B20" s="71"/>
      <c r="C20" s="65"/>
      <c r="D20" s="66"/>
    </row>
    <row r="21" spans="2:11" ht="48" customHeight="1" thickBot="1" x14ac:dyDescent="0.65">
      <c r="B21" s="71" t="s">
        <v>29</v>
      </c>
      <c r="C21" s="115" t="str">
        <f>IF(B9="Murdoch JD &amp; SL","Do Not Combine with other Murdoch","")</f>
        <v/>
      </c>
      <c r="D21" s="109">
        <f>IFERROR(VLOOKUP($H$5,Monday!$B$5:$S$68,10,FALSE),IFERROR(VLOOKUP('Cover Sheet'!$H$5,Tuesday!$B$5:$S$68,10,FALSE),IFERROR(VLOOKUP('Cover Sheet'!$H$5,Wednesday!$B$5:$S$68,10,FALSE),IFERROR(VLOOKUP('Cover Sheet'!$H$5,Thursday!$B$5:$S$68,10,FALSE),IFERROR(VLOOKUP('Cover Sheet'!$H$5,Friday!$B$5:$S$68,10,FALSE),IFERROR(VLOOKUP('Cover Sheet'!$H$5,Saturday!$B$5:$S$68,10,FALSE),))))))</f>
        <v>0</v>
      </c>
    </row>
    <row r="22" spans="2:11" ht="18.75" customHeight="1" thickBot="1" x14ac:dyDescent="1.35">
      <c r="B22" s="305" t="e">
        <f>IF(#REF!="","",(VLOOKUP(#REF!,Thursday!B21:S72,18,0)))</f>
        <v>#REF!</v>
      </c>
      <c r="C22" s="306"/>
      <c r="D22" s="307"/>
    </row>
    <row r="23" spans="2:11" ht="121.5" customHeight="1" x14ac:dyDescent="0.2">
      <c r="B23" s="289">
        <f>D13</f>
        <v>0</v>
      </c>
      <c r="C23" s="290"/>
      <c r="D23" s="291"/>
    </row>
    <row r="24" spans="2:11" ht="93" customHeight="1" thickBot="1" x14ac:dyDescent="0.25">
      <c r="B24" s="286" t="str">
        <f>IFERROR(VLOOKUP($H$5,Monday!$B$5:$S$68,9,FALSE),IFERROR(VLOOKUP('Cover Sheet'!$H$5,Tuesday!$B$5:$S$68,9,FALSE),IFERROR(VLOOKUP('Cover Sheet'!$H$5,Wednesday!$B$5:$S$68,9,FALSE),IFERROR(VLOOKUP('Cover Sheet'!$H$5,Thursday!$B$5:$S$68,9,FALSE),IFERROR(VLOOKUP('Cover Sheet'!$H$5,Friday!$B$5:$S$68,9,FALSE),IFERROR(VLOOKUP('Cover Sheet'!$H$5,Saturday!$B$5:$S$68,9,FALSE),))))))</f>
        <v/>
      </c>
      <c r="C24" s="287">
        <f>IFERROR(VLOOKUP(#REF!,Monday!$B$5:$S$48,9,FALSE),IFERROR(VLOOKUP('Cover Sheet'!#REF!,Tuesday!$B$5:$S$48,9,FALSE),IFERROR(VLOOKUP('Cover Sheet'!#REF!,Wednesday!$B$5:$S$48,9,FALSE),IFERROR(VLOOKUP('Cover Sheet'!#REF!,Thursday!$B$5:$S$48,9,FALSE),IFERROR(VLOOKUP('Cover Sheet'!#REF!,Friday!$B$5:$S$48,9,FALSE),)))))</f>
        <v>0</v>
      </c>
      <c r="D24" s="288">
        <f>IFERROR(VLOOKUP(#REF!,Monday!$B$5:$S$48,9,FALSE),IFERROR(VLOOKUP('Cover Sheet'!#REF!,Tuesday!$B$5:$S$48,9,FALSE),IFERROR(VLOOKUP('Cover Sheet'!#REF!,Wednesday!$B$5:$S$48,9,FALSE),IFERROR(VLOOKUP('Cover Sheet'!#REF!,Thursday!$B$5:$S$48,9,FALSE),IFERROR(VLOOKUP('Cover Sheet'!#REF!,Friday!$B$5:$S$48,9,FALSE),)))))</f>
        <v>0</v>
      </c>
    </row>
    <row r="25" spans="2:11" ht="15" x14ac:dyDescent="0.2">
      <c r="C25" s="114"/>
      <c r="J25" s="152"/>
    </row>
    <row r="26" spans="2:11" x14ac:dyDescent="0.2">
      <c r="J26" s="152"/>
      <c r="K26" s="153"/>
    </row>
    <row r="27" spans="2:11" x14ac:dyDescent="0.2">
      <c r="J27" s="154"/>
    </row>
    <row r="28" spans="2:11" x14ac:dyDescent="0.2">
      <c r="J28" s="154"/>
      <c r="K28" s="154"/>
    </row>
    <row r="29" spans="2:11" x14ac:dyDescent="0.2">
      <c r="D29" s="170"/>
    </row>
  </sheetData>
  <customSheetViews>
    <customSheetView guid="{6CBF310A-A1BE-46B5-918C-2F2608E5F889}" scale="70" showPageBreaks="1" fitToPage="1" printArea="1" hiddenRows="1" showRuler="0">
      <selection activeCell="D6" sqref="D6"/>
      <pageMargins left="0.75" right="0.75" top="1" bottom="1" header="0.5" footer="0.5"/>
      <pageSetup paperSize="9" scale="85" orientation="portrait" r:id="rId1"/>
      <headerFooter alignWithMargins="0">
        <oddFooter>&amp;L&amp;Z&amp;F</oddFooter>
      </headerFooter>
    </customSheetView>
    <customSheetView guid="{932959AD-57BE-4F19-9A63-1790755BC301}" scale="70" showPageBreaks="1" fitToPage="1" printArea="1" hiddenRows="1" showRuler="0">
      <selection activeCell="B6" sqref="B6:D7"/>
      <pageMargins left="0.75" right="0.75" top="1" bottom="1" header="0.5" footer="0.5"/>
      <pageSetup paperSize="9" scale="85" orientation="portrait" r:id="rId2"/>
      <headerFooter alignWithMargins="0">
        <oddFooter>&amp;L&amp;Z&amp;F</oddFooter>
      </headerFooter>
    </customSheetView>
    <customSheetView guid="{369A686F-D18F-4ED2-99C4-317DC1AD7F50}" scale="70" fitToPage="1" hiddenRows="1" showRuler="0">
      <selection activeCell="D5" sqref="D5"/>
      <pageMargins left="0.75" right="0.75" top="1" bottom="1" header="0.5" footer="0.5"/>
      <pageSetup paperSize="9" scale="86" orientation="portrait" r:id="rId3"/>
      <headerFooter alignWithMargins="0">
        <oddFooter>&amp;L&amp;Z&amp;F</oddFooter>
      </headerFooter>
    </customSheetView>
    <customSheetView guid="{EF0ABB43-B993-46C7-99BE-573267E24723}" scale="70" showPageBreaks="1" fitToPage="1" printArea="1" hiddenRows="1" showRuler="0">
      <selection activeCell="D6" sqref="D6"/>
      <pageMargins left="0.75" right="0.75" top="1" bottom="1" header="0.5" footer="0.5"/>
      <pageSetup paperSize="9" scale="85" orientation="portrait" r:id="rId4"/>
      <headerFooter alignWithMargins="0">
        <oddFooter>&amp;L&amp;Z&amp;F</oddFooter>
      </headerFooter>
    </customSheetView>
  </customSheetViews>
  <mergeCells count="10">
    <mergeCell ref="B5:B6"/>
    <mergeCell ref="D5:D6"/>
    <mergeCell ref="B24:D24"/>
    <mergeCell ref="B23:D23"/>
    <mergeCell ref="B9:D9"/>
    <mergeCell ref="B11:D11"/>
    <mergeCell ref="C14:D14"/>
    <mergeCell ref="C16:D16"/>
    <mergeCell ref="B10:D10"/>
    <mergeCell ref="B22:D22"/>
  </mergeCells>
  <conditionalFormatting sqref="D21">
    <cfRule type="cellIs" dxfId="292" priority="4" operator="equal">
      <formula>"Y"</formula>
    </cfRule>
    <cfRule type="cellIs" dxfId="291" priority="7" operator="equal">
      <formula>0</formula>
    </cfRule>
  </conditionalFormatting>
  <conditionalFormatting sqref="B22:D22">
    <cfRule type="cellIs" dxfId="290" priority="5" operator="equal">
      <formula>"DRY"</formula>
    </cfRule>
    <cfRule type="cellIs" dxfId="289" priority="6" operator="equal">
      <formula>"CHILLER"</formula>
    </cfRule>
  </conditionalFormatting>
  <conditionalFormatting sqref="B24:D24">
    <cfRule type="cellIs" dxfId="288" priority="1" operator="equal">
      <formula>"TBC"</formula>
    </cfRule>
    <cfRule type="cellIs" dxfId="287" priority="2" operator="equal">
      <formula>0</formula>
    </cfRule>
  </conditionalFormatting>
  <pageMargins left="0.75" right="0.75" top="1" bottom="1" header="0.5" footer="0.5"/>
  <pageSetup paperSize="9" scale="79" orientation="portrait" r:id="rId5"/>
  <headerFooter alignWithMargins="0">
    <oddFooter>&amp;L&amp;Z&amp;F</oddFooter>
  </headerFooter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103"/>
  <sheetViews>
    <sheetView tabSelected="1" topLeftCell="B1" zoomScaleNormal="100" zoomScaleSheetLayoutView="100" workbookViewId="0">
      <pane ySplit="4" topLeftCell="A5" activePane="bottomLeft" state="frozen"/>
      <selection activeCell="B1" sqref="B1"/>
      <selection pane="bottomLeft" activeCell="H14" sqref="H14"/>
    </sheetView>
  </sheetViews>
  <sheetFormatPr defaultRowHeight="15" x14ac:dyDescent="0.25"/>
  <cols>
    <col min="1" max="1" width="3.140625" hidden="1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.85546875" customWidth="1"/>
    <col min="7" max="7" width="16" customWidth="1"/>
    <col min="8" max="8" width="36.7109375" customWidth="1"/>
    <col min="9" max="9" width="40.5703125" customWidth="1"/>
    <col min="10" max="10" width="11.85546875" customWidth="1"/>
    <col min="11" max="11" width="11.140625" customWidth="1"/>
    <col min="12" max="12" width="6.5703125" customWidth="1"/>
    <col min="13" max="13" width="6.42578125" customWidth="1"/>
    <col min="14" max="14" width="0.140625" customWidth="1"/>
    <col min="15" max="15" width="6.7109375" hidden="1" customWidth="1"/>
    <col min="16" max="16" width="15" customWidth="1"/>
    <col min="17" max="17" width="12.28515625" bestFit="1" customWidth="1"/>
    <col min="18" max="18" width="13.140625" customWidth="1"/>
    <col min="19" max="19" width="15.140625" hidden="1" customWidth="1"/>
  </cols>
  <sheetData>
    <row r="1" spans="1:19" ht="36.75" customHeight="1" thickBot="1" x14ac:dyDescent="0.3">
      <c r="A1" s="1"/>
      <c r="B1" s="308" t="s">
        <v>482</v>
      </c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</row>
    <row r="2" spans="1:19" ht="66.75" customHeight="1" thickBot="1" x14ac:dyDescent="0.55000000000000004">
      <c r="A2" s="106"/>
      <c r="B2" s="6"/>
      <c r="C2" s="7"/>
      <c r="D2" s="131"/>
      <c r="E2" s="131"/>
      <c r="F2" s="7" t="s">
        <v>32</v>
      </c>
      <c r="G2" s="7"/>
      <c r="H2" s="7"/>
      <c r="I2" s="132"/>
      <c r="J2" s="9"/>
      <c r="K2" s="7"/>
      <c r="L2" s="313" t="s">
        <v>53</v>
      </c>
      <c r="M2" s="314"/>
      <c r="N2" s="315" t="s">
        <v>821</v>
      </c>
      <c r="O2" s="316"/>
      <c r="P2" s="317"/>
      <c r="Q2" s="318" t="e">
        <f>N2-6</f>
        <v>#VALUE!</v>
      </c>
      <c r="R2" s="319"/>
      <c r="S2" s="320"/>
    </row>
    <row r="3" spans="1:19" ht="15.75" thickBot="1" x14ac:dyDescent="0.3">
      <c r="A3" s="178"/>
      <c r="B3" s="179"/>
      <c r="C3" s="179"/>
      <c r="D3" s="180"/>
      <c r="E3" s="181"/>
      <c r="F3" s="182"/>
      <c r="G3" s="182"/>
      <c r="H3" s="182"/>
      <c r="I3" s="183"/>
      <c r="J3" s="182"/>
      <c r="K3" s="182"/>
      <c r="L3" s="182"/>
      <c r="M3" s="182"/>
      <c r="N3" s="182"/>
      <c r="O3" s="182"/>
      <c r="P3" s="182"/>
      <c r="Q3" s="182"/>
      <c r="R3" s="182"/>
      <c r="S3" s="184"/>
    </row>
    <row r="4" spans="1:19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19" ht="23.2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19" x14ac:dyDescent="0.25">
      <c r="A6" s="135">
        <v>1</v>
      </c>
      <c r="B6" s="278" t="s">
        <v>64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/>
      <c r="K6" s="275"/>
      <c r="L6" s="275"/>
      <c r="M6" s="275"/>
      <c r="N6" s="275"/>
      <c r="O6" s="275"/>
      <c r="P6" s="277"/>
      <c r="Q6" s="277"/>
      <c r="R6" s="275"/>
      <c r="S6" s="177"/>
    </row>
    <row r="7" spans="1:19" x14ac:dyDescent="0.25">
      <c r="A7" s="124">
        <v>2</v>
      </c>
      <c r="B7" s="278" t="s">
        <v>65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/>
      <c r="K7" s="275"/>
      <c r="L7" s="275"/>
      <c r="M7" s="275"/>
      <c r="N7" s="275"/>
      <c r="O7" s="275"/>
      <c r="P7" s="277"/>
      <c r="Q7" s="277"/>
      <c r="R7" s="275"/>
      <c r="S7" s="177"/>
    </row>
    <row r="8" spans="1:19" x14ac:dyDescent="0.25">
      <c r="A8" s="135">
        <v>3</v>
      </c>
      <c r="B8" s="278" t="s">
        <v>66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/>
      <c r="K8" s="275"/>
      <c r="L8" s="275"/>
      <c r="M8" s="275"/>
      <c r="N8" s="275"/>
      <c r="O8" s="275"/>
      <c r="P8" s="275"/>
      <c r="Q8" s="275"/>
      <c r="R8" s="275"/>
      <c r="S8" s="177"/>
    </row>
    <row r="9" spans="1:19" x14ac:dyDescent="0.25">
      <c r="A9" s="124">
        <v>4</v>
      </c>
      <c r="B9" s="278" t="s">
        <v>78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/>
      <c r="K9" s="275"/>
      <c r="L9" s="275"/>
      <c r="M9" s="275"/>
      <c r="N9" s="275"/>
      <c r="O9" s="275"/>
      <c r="P9" s="275"/>
      <c r="Q9" s="275"/>
      <c r="R9" s="275"/>
      <c r="S9" s="177"/>
    </row>
    <row r="10" spans="1:19" x14ac:dyDescent="0.25">
      <c r="A10" s="135">
        <v>5</v>
      </c>
      <c r="B10" s="278" t="s">
        <v>79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/>
      <c r="K10" s="275"/>
      <c r="L10" s="275"/>
      <c r="M10" s="275"/>
      <c r="N10" s="275"/>
      <c r="O10" s="275"/>
      <c r="P10" s="277"/>
      <c r="Q10" s="277"/>
      <c r="R10" s="275"/>
      <c r="S10" s="177"/>
    </row>
    <row r="11" spans="1:19" x14ac:dyDescent="0.25">
      <c r="A11" s="124">
        <v>6</v>
      </c>
      <c r="B11" s="278" t="s">
        <v>80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/>
      <c r="K11" s="275"/>
      <c r="L11" s="275"/>
      <c r="M11" s="275"/>
      <c r="N11" s="275"/>
      <c r="O11" s="275"/>
      <c r="P11" s="277"/>
      <c r="Q11" s="277"/>
      <c r="R11" s="275"/>
      <c r="S11" s="177"/>
    </row>
    <row r="12" spans="1:19" x14ac:dyDescent="0.25">
      <c r="A12" s="135">
        <v>7</v>
      </c>
      <c r="B12" s="278" t="s">
        <v>81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/>
      <c r="K12" s="275"/>
      <c r="L12" s="275"/>
      <c r="M12" s="275"/>
      <c r="N12" s="275"/>
      <c r="O12" s="275"/>
      <c r="P12" s="275"/>
      <c r="Q12" s="275"/>
      <c r="R12" s="275"/>
      <c r="S12" s="177"/>
    </row>
    <row r="13" spans="1:19" x14ac:dyDescent="0.25">
      <c r="A13" s="124">
        <v>8</v>
      </c>
      <c r="B13" s="278" t="s">
        <v>82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/>
      <c r="K13" s="275"/>
      <c r="L13" s="275"/>
      <c r="M13" s="275"/>
      <c r="N13" s="275"/>
      <c r="O13" s="275"/>
      <c r="P13" s="275"/>
      <c r="Q13" s="275"/>
      <c r="R13" s="275"/>
      <c r="S13" s="177"/>
    </row>
    <row r="14" spans="1:19" x14ac:dyDescent="0.25">
      <c r="A14" s="135">
        <v>9</v>
      </c>
      <c r="B14" s="278" t="s">
        <v>83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/>
      <c r="K14" s="275"/>
      <c r="L14" s="275"/>
      <c r="M14" s="275"/>
      <c r="N14" s="275"/>
      <c r="O14" s="275"/>
      <c r="P14" s="277"/>
      <c r="Q14" s="277"/>
      <c r="R14" s="275"/>
      <c r="S14" s="177"/>
    </row>
    <row r="15" spans="1:19" x14ac:dyDescent="0.25">
      <c r="A15" s="124">
        <v>10</v>
      </c>
      <c r="B15" s="278" t="s">
        <v>84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/>
      <c r="K15" s="275"/>
      <c r="L15" s="275"/>
      <c r="M15" s="275"/>
      <c r="N15" s="275"/>
      <c r="O15" s="275"/>
      <c r="P15" s="277"/>
      <c r="Q15" s="277"/>
      <c r="R15" s="275"/>
      <c r="S15" s="177"/>
    </row>
    <row r="16" spans="1:19" x14ac:dyDescent="0.25">
      <c r="A16" s="135">
        <v>11</v>
      </c>
      <c r="B16" s="278" t="s">
        <v>85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/>
      <c r="K16" s="275"/>
      <c r="L16" s="275"/>
      <c r="M16" s="275"/>
      <c r="N16" s="275"/>
      <c r="O16" s="275"/>
      <c r="P16" s="277"/>
      <c r="Q16" s="277"/>
      <c r="R16" s="275"/>
      <c r="S16" s="177"/>
    </row>
    <row r="17" spans="1:19" x14ac:dyDescent="0.25">
      <c r="A17" s="124">
        <v>12</v>
      </c>
      <c r="B17" s="278" t="s">
        <v>86</v>
      </c>
      <c r="C17" s="279" t="e">
        <f t="shared" si="0"/>
        <v>#VALUE!</v>
      </c>
      <c r="D17" s="275"/>
      <c r="E17" s="275"/>
      <c r="F17" s="275"/>
      <c r="G17" s="275"/>
      <c r="H17" s="275"/>
      <c r="I17" s="275" t="str">
        <f>IF(H17="","",(VLOOKUP(H17,'Reference List'!$B$3:$D$173,2,FALSE)))</f>
        <v/>
      </c>
      <c r="J17" s="276"/>
      <c r="K17" s="275"/>
      <c r="L17" s="275"/>
      <c r="M17" s="275"/>
      <c r="N17" s="275"/>
      <c r="O17" s="275"/>
      <c r="P17" s="277"/>
      <c r="Q17" s="277"/>
      <c r="R17" s="275"/>
      <c r="S17" s="177"/>
    </row>
    <row r="18" spans="1:19" ht="15.75" thickBot="1" x14ac:dyDescent="0.3">
      <c r="A18" s="135">
        <v>13</v>
      </c>
      <c r="B18" s="278" t="s">
        <v>87</v>
      </c>
      <c r="C18" s="279" t="e">
        <f t="shared" si="0"/>
        <v>#VALUE!</v>
      </c>
      <c r="D18" s="275"/>
      <c r="E18" s="275"/>
      <c r="F18" s="275"/>
      <c r="G18" s="275"/>
      <c r="H18" s="275"/>
      <c r="I18" s="275" t="str">
        <f>IF(H18="","",(VLOOKUP(H18,'Reference List'!$B$3:$D$173,2,FALSE)))</f>
        <v/>
      </c>
      <c r="J18" s="276"/>
      <c r="K18" s="275"/>
      <c r="L18" s="275"/>
      <c r="M18" s="275"/>
      <c r="N18" s="275"/>
      <c r="O18" s="275"/>
      <c r="P18" s="275"/>
      <c r="Q18" s="275"/>
      <c r="R18" s="275"/>
      <c r="S18" s="177"/>
    </row>
    <row r="19" spans="1:19" ht="15.75" thickBot="1" x14ac:dyDescent="0.3">
      <c r="A19" s="185"/>
      <c r="B19" s="186"/>
      <c r="C19" s="186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8"/>
      <c r="S19" s="189"/>
    </row>
    <row r="20" spans="1:19" ht="27" customHeight="1" thickBot="1" x14ac:dyDescent="0.3">
      <c r="A20" s="143"/>
      <c r="B20" s="144"/>
      <c r="C20" s="145"/>
      <c r="D20" s="146"/>
      <c r="E20" s="146"/>
      <c r="F20" s="147"/>
      <c r="G20" s="148"/>
      <c r="H20" s="311" t="s">
        <v>486</v>
      </c>
      <c r="I20" s="312"/>
      <c r="J20" s="149"/>
      <c r="K20" s="146"/>
      <c r="L20" s="146"/>
      <c r="M20" s="146"/>
      <c r="N20" s="146"/>
      <c r="O20" s="146"/>
      <c r="P20" s="146"/>
      <c r="Q20" s="146"/>
      <c r="R20" s="150"/>
      <c r="S20" s="172" t="s">
        <v>52</v>
      </c>
    </row>
    <row r="21" spans="1:19" ht="27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35">
        <v>19</v>
      </c>
      <c r="B22" s="278" t="s">
        <v>88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5"/>
      <c r="R22" s="275"/>
      <c r="S22" s="169"/>
    </row>
    <row r="23" spans="1:19" x14ac:dyDescent="0.25">
      <c r="A23" s="124">
        <v>20</v>
      </c>
      <c r="B23" s="278" t="s">
        <v>89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77"/>
      <c r="Q23" s="275"/>
      <c r="R23" s="275"/>
      <c r="S23" s="169"/>
    </row>
    <row r="24" spans="1:19" x14ac:dyDescent="0.25">
      <c r="A24" s="135">
        <v>21</v>
      </c>
      <c r="B24" s="278" t="s">
        <v>90</v>
      </c>
      <c r="C24" s="279" t="e">
        <f t="shared" si="1"/>
        <v>#VALUE!</v>
      </c>
      <c r="D24" s="275"/>
      <c r="E24" s="275"/>
      <c r="F24" s="275"/>
      <c r="G24" s="275"/>
      <c r="H24" s="277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5"/>
      <c r="R24" s="275"/>
      <c r="S24" s="169"/>
    </row>
    <row r="25" spans="1:19" x14ac:dyDescent="0.25">
      <c r="A25" s="124">
        <v>22</v>
      </c>
      <c r="B25" s="278" t="s">
        <v>91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5"/>
      <c r="Q25" s="275"/>
      <c r="R25" s="275"/>
      <c r="S25" s="169"/>
    </row>
    <row r="26" spans="1:19" x14ac:dyDescent="0.25">
      <c r="A26" s="135">
        <v>23</v>
      </c>
      <c r="B26" s="278" t="s">
        <v>92</v>
      </c>
      <c r="C26" s="279" t="e">
        <f t="shared" si="1"/>
        <v>#VALUE!</v>
      </c>
      <c r="D26" s="275"/>
      <c r="E26" s="275"/>
      <c r="F26" s="275"/>
      <c r="G26" s="275"/>
      <c r="H26" s="277"/>
      <c r="I26" s="275"/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5"/>
      <c r="Q26" s="275"/>
      <c r="R26" s="275"/>
      <c r="S26" s="169"/>
    </row>
    <row r="27" spans="1:19" x14ac:dyDescent="0.25">
      <c r="A27" s="124">
        <v>24</v>
      </c>
      <c r="B27" s="278" t="s">
        <v>93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5"/>
      <c r="Q27" s="275"/>
      <c r="R27" s="275"/>
      <c r="S27" s="169"/>
    </row>
    <row r="28" spans="1:19" x14ac:dyDescent="0.25">
      <c r="A28" s="135">
        <v>25</v>
      </c>
      <c r="B28" s="278" t="s">
        <v>94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5"/>
      <c r="Q28" s="275"/>
      <c r="R28" s="275"/>
      <c r="S28" s="169"/>
    </row>
    <row r="29" spans="1:19" x14ac:dyDescent="0.25">
      <c r="A29" s="124">
        <v>26</v>
      </c>
      <c r="B29" s="278" t="s">
        <v>95</v>
      </c>
      <c r="C29" s="279" t="e">
        <f t="shared" si="1"/>
        <v>#VALUE!</v>
      </c>
      <c r="D29" s="275"/>
      <c r="E29" s="275"/>
      <c r="F29" s="275"/>
      <c r="G29" s="275"/>
      <c r="H29" s="275" t="str">
        <f>IF(G29="","",(VLOOKUP(G29,'Reference List'!$B$3:$D$173,2,FALSE)))</f>
        <v/>
      </c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5"/>
      <c r="Q29" s="275"/>
      <c r="R29" s="275"/>
      <c r="S29" s="169"/>
    </row>
    <row r="30" spans="1:19" x14ac:dyDescent="0.25">
      <c r="A30" s="135">
        <v>27</v>
      </c>
      <c r="B30" s="278" t="s">
        <v>96</v>
      </c>
      <c r="C30" s="279" t="e">
        <f t="shared" si="1"/>
        <v>#VALUE!</v>
      </c>
      <c r="D30" s="275"/>
      <c r="E30" s="275"/>
      <c r="F30" s="275"/>
      <c r="G30" s="275"/>
      <c r="H30" s="275" t="str">
        <f>IF(G30="","",(VLOOKUP(G30,'Reference List'!$B$3:$D$173,2,FALSE)))</f>
        <v/>
      </c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5"/>
      <c r="Q30" s="275"/>
      <c r="R30" s="275"/>
      <c r="S30" s="169"/>
    </row>
    <row r="31" spans="1:19" x14ac:dyDescent="0.25">
      <c r="A31" s="124">
        <v>28</v>
      </c>
      <c r="B31" s="278" t="s">
        <v>97</v>
      </c>
      <c r="C31" s="279" t="e">
        <f t="shared" si="1"/>
        <v>#VALUE!</v>
      </c>
      <c r="D31" s="275"/>
      <c r="E31" s="275"/>
      <c r="F31" s="275"/>
      <c r="G31" s="275"/>
      <c r="H31" s="275" t="str">
        <f>IF(G31="","",(VLOOKUP(G31,'Reference List'!$B$3:$D$173,2,FALSE)))</f>
        <v/>
      </c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5"/>
      <c r="Q31" s="275"/>
      <c r="R31" s="275"/>
      <c r="S31" s="169"/>
    </row>
    <row r="32" spans="1:19" x14ac:dyDescent="0.25">
      <c r="A32" s="135">
        <v>29</v>
      </c>
      <c r="B32" s="278" t="s">
        <v>98</v>
      </c>
      <c r="C32" s="279" t="e">
        <f t="shared" si="1"/>
        <v>#VALUE!</v>
      </c>
      <c r="D32" s="275"/>
      <c r="E32" s="275"/>
      <c r="F32" s="275"/>
      <c r="G32" s="275"/>
      <c r="H32" s="275" t="str">
        <f>IF(G32="","",(VLOOKUP(G32,'Reference List'!$B$3:$D$173,2,FALSE)))</f>
        <v/>
      </c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5"/>
      <c r="Q32" s="275"/>
      <c r="R32" s="275"/>
      <c r="S32" s="169"/>
    </row>
    <row r="33" spans="1:19" x14ac:dyDescent="0.25">
      <c r="A33" s="124">
        <v>30</v>
      </c>
      <c r="B33" s="278" t="s">
        <v>99</v>
      </c>
      <c r="C33" s="279" t="e">
        <f t="shared" si="1"/>
        <v>#VALUE!</v>
      </c>
      <c r="D33" s="275"/>
      <c r="E33" s="275"/>
      <c r="F33" s="275"/>
      <c r="G33" s="275"/>
      <c r="H33" s="275" t="str">
        <f>IF(G33="","",(VLOOKUP(G33,'Reference List'!$B$3:$D$173,2,FALSE)))</f>
        <v/>
      </c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75"/>
      <c r="Q33" s="275"/>
      <c r="R33" s="275"/>
      <c r="S33" s="169"/>
    </row>
    <row r="34" spans="1:19" x14ac:dyDescent="0.25">
      <c r="A34" s="135">
        <v>31</v>
      </c>
      <c r="B34" s="278" t="s">
        <v>100</v>
      </c>
      <c r="C34" s="279" t="e">
        <f t="shared" si="1"/>
        <v>#VALUE!</v>
      </c>
      <c r="D34" s="275"/>
      <c r="E34" s="275"/>
      <c r="F34" s="275"/>
      <c r="G34" s="275"/>
      <c r="H34" s="275" t="str">
        <f>IF(G34="","",(VLOOKUP(G34,'Reference List'!$B$3:$D$173,2,FALSE)))</f>
        <v/>
      </c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5"/>
      <c r="Q34" s="275"/>
      <c r="R34" s="275"/>
      <c r="S34" s="169"/>
    </row>
    <row r="35" spans="1:19" x14ac:dyDescent="0.25">
      <c r="A35" s="124">
        <v>32</v>
      </c>
      <c r="B35" s="278" t="s">
        <v>101</v>
      </c>
      <c r="C35" s="279" t="e">
        <f t="shared" si="1"/>
        <v>#VALUE!</v>
      </c>
      <c r="D35" s="275"/>
      <c r="E35" s="275"/>
      <c r="F35" s="275"/>
      <c r="G35" s="275"/>
      <c r="H35" s="275" t="str">
        <f>IF(G35="","",(VLOOKUP(G35,'Reference List'!$B$3:$D$173,2,FALSE)))</f>
        <v/>
      </c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5"/>
      <c r="Q35" s="275"/>
      <c r="R35" s="275"/>
      <c r="S35" s="169"/>
    </row>
    <row r="36" spans="1:19" x14ac:dyDescent="0.25">
      <c r="A36" s="135">
        <v>33</v>
      </c>
      <c r="B36" s="278" t="s">
        <v>102</v>
      </c>
      <c r="C36" s="279" t="e">
        <f t="shared" si="1"/>
        <v>#VALUE!</v>
      </c>
      <c r="D36" s="275"/>
      <c r="E36" s="275"/>
      <c r="F36" s="275"/>
      <c r="G36" s="275"/>
      <c r="H36" s="275" t="str">
        <f>IF(G36="","",(VLOOKUP(G36,'Reference List'!$B$3:$D$173,2,FALSE)))</f>
        <v/>
      </c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75"/>
      <c r="Q36" s="275"/>
      <c r="R36" s="275"/>
      <c r="S36" s="169"/>
    </row>
    <row r="37" spans="1:19" x14ac:dyDescent="0.25">
      <c r="A37" s="124">
        <v>34</v>
      </c>
      <c r="B37" s="278" t="s">
        <v>103</v>
      </c>
      <c r="C37" s="279" t="e">
        <f t="shared" si="1"/>
        <v>#VALUE!</v>
      </c>
      <c r="D37" s="275"/>
      <c r="E37" s="275"/>
      <c r="F37" s="275"/>
      <c r="G37" s="275"/>
      <c r="H37" s="275" t="str">
        <f>IF(G37="","",(VLOOKUP(G37,'Reference List'!$B$3:$D$173,2,FALSE)))</f>
        <v/>
      </c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5"/>
      <c r="Q37" s="275"/>
      <c r="R37" s="275"/>
      <c r="S37" s="169"/>
    </row>
    <row r="38" spans="1:19" x14ac:dyDescent="0.25">
      <c r="A38" s="135">
        <v>35</v>
      </c>
      <c r="B38" s="278" t="s">
        <v>104</v>
      </c>
      <c r="C38" s="279" t="e">
        <f t="shared" si="1"/>
        <v>#VALUE!</v>
      </c>
      <c r="D38" s="275"/>
      <c r="E38" s="275"/>
      <c r="F38" s="275"/>
      <c r="G38" s="275"/>
      <c r="H38" s="275" t="str">
        <f>IF(G38="","",(VLOOKUP(G38,'Reference List'!$B$3:$D$173,2,FALSE)))</f>
        <v/>
      </c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5"/>
      <c r="Q38" s="275"/>
      <c r="R38" s="275"/>
      <c r="S38" s="169"/>
    </row>
    <row r="39" spans="1:19" x14ac:dyDescent="0.25">
      <c r="A39" s="124">
        <v>36</v>
      </c>
      <c r="B39" s="278" t="s">
        <v>105</v>
      </c>
      <c r="C39" s="279" t="e">
        <f t="shared" si="1"/>
        <v>#VALUE!</v>
      </c>
      <c r="D39" s="275"/>
      <c r="E39" s="275"/>
      <c r="F39" s="275"/>
      <c r="G39" s="275"/>
      <c r="H39" s="275" t="str">
        <f>IF(G39="","",(VLOOKUP(G39,'Reference List'!$B$3:$D$173,2,FALSE)))</f>
        <v/>
      </c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5"/>
      <c r="Q39" s="275"/>
      <c r="R39" s="275"/>
      <c r="S39" s="169"/>
    </row>
    <row r="40" spans="1:19" x14ac:dyDescent="0.25">
      <c r="A40" s="135">
        <v>37</v>
      </c>
      <c r="B40" s="278" t="s">
        <v>106</v>
      </c>
      <c r="C40" s="279" t="e">
        <f t="shared" si="1"/>
        <v>#VALUE!</v>
      </c>
      <c r="D40" s="275"/>
      <c r="E40" s="275"/>
      <c r="F40" s="275"/>
      <c r="G40" s="275"/>
      <c r="H40" s="275" t="str">
        <f>IF(G40="","",(VLOOKUP(G40,'Reference List'!$B$3:$D$173,2,FALSE)))</f>
        <v/>
      </c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5"/>
      <c r="Q40" s="275"/>
      <c r="R40" s="275"/>
      <c r="S40" s="169"/>
    </row>
    <row r="41" spans="1:19" x14ac:dyDescent="0.25">
      <c r="A41" s="124">
        <v>38</v>
      </c>
      <c r="B41" s="278" t="s">
        <v>107</v>
      </c>
      <c r="C41" s="279" t="e">
        <f t="shared" si="1"/>
        <v>#VALUE!</v>
      </c>
      <c r="D41" s="275"/>
      <c r="E41" s="275"/>
      <c r="F41" s="275"/>
      <c r="G41" s="275"/>
      <c r="H41" s="275" t="str">
        <f>IF(G41="","",(VLOOKUP(G41,'Reference List'!$B$3:$D$173,2,FALSE)))</f>
        <v/>
      </c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5"/>
      <c r="Q41" s="275"/>
      <c r="R41" s="275"/>
      <c r="S41" s="169"/>
    </row>
    <row r="42" spans="1:19" x14ac:dyDescent="0.25">
      <c r="A42" s="135">
        <v>39</v>
      </c>
      <c r="B42" s="278" t="s">
        <v>108</v>
      </c>
      <c r="C42" s="279" t="e">
        <f t="shared" si="1"/>
        <v>#VALUE!</v>
      </c>
      <c r="D42" s="275"/>
      <c r="E42" s="275"/>
      <c r="F42" s="275"/>
      <c r="G42" s="275"/>
      <c r="H42" s="275" t="str">
        <f>IF(G42="","",(VLOOKUP(G42,'Reference List'!$B$3:$D$168,2,FALSE)))</f>
        <v/>
      </c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5"/>
      <c r="Q42" s="275"/>
      <c r="R42" s="275"/>
      <c r="S42" s="169"/>
    </row>
    <row r="43" spans="1:19" x14ac:dyDescent="0.25">
      <c r="A43" s="124">
        <v>40</v>
      </c>
      <c r="B43" s="278" t="s">
        <v>109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5"/>
      <c r="Q43" s="275"/>
      <c r="R43" s="275"/>
      <c r="S43" s="169"/>
    </row>
    <row r="44" spans="1:19" x14ac:dyDescent="0.25">
      <c r="A44" s="135">
        <v>41</v>
      </c>
      <c r="B44" s="278" t="s">
        <v>110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5"/>
      <c r="Q44" s="275"/>
      <c r="R44" s="275"/>
      <c r="S44" s="169"/>
    </row>
    <row r="45" spans="1:19" x14ac:dyDescent="0.25">
      <c r="A45" s="124">
        <v>42</v>
      </c>
      <c r="B45" s="278" t="s">
        <v>111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5"/>
      <c r="Q45" s="275"/>
      <c r="R45" s="275"/>
      <c r="S45" s="169"/>
    </row>
    <row r="46" spans="1:19" x14ac:dyDescent="0.25">
      <c r="A46" s="135">
        <v>43</v>
      </c>
      <c r="B46" s="278" t="s">
        <v>112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5"/>
      <c r="Q46" s="275"/>
      <c r="R46" s="275"/>
      <c r="S46" s="169"/>
    </row>
    <row r="47" spans="1:19" x14ac:dyDescent="0.25">
      <c r="A47" s="124">
        <v>44</v>
      </c>
      <c r="B47" s="278" t="s">
        <v>113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9"/>
    </row>
    <row r="48" spans="1:19" x14ac:dyDescent="0.25">
      <c r="A48" s="135">
        <v>45</v>
      </c>
      <c r="B48" s="278" t="s">
        <v>114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9"/>
    </row>
    <row r="49" spans="1:19" x14ac:dyDescent="0.25">
      <c r="A49" s="124">
        <v>46</v>
      </c>
      <c r="B49" s="278" t="s">
        <v>115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9"/>
    </row>
    <row r="50" spans="1:19" x14ac:dyDescent="0.25">
      <c r="A50" s="135">
        <v>47</v>
      </c>
      <c r="B50" s="278" t="s">
        <v>116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9"/>
    </row>
    <row r="51" spans="1:19" x14ac:dyDescent="0.25">
      <c r="A51" s="124">
        <v>48</v>
      </c>
      <c r="B51" s="278" t="s">
        <v>117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9"/>
    </row>
    <row r="52" spans="1:19" x14ac:dyDescent="0.25">
      <c r="A52" s="124">
        <v>50</v>
      </c>
      <c r="B52" s="278" t="s">
        <v>118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9"/>
    </row>
    <row r="53" spans="1:19" x14ac:dyDescent="0.25">
      <c r="A53" s="135">
        <v>51</v>
      </c>
      <c r="B53" s="278" t="s">
        <v>119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9"/>
    </row>
    <row r="54" spans="1:19" x14ac:dyDescent="0.25">
      <c r="A54" s="124">
        <v>52</v>
      </c>
      <c r="B54" s="278" t="s">
        <v>120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9"/>
    </row>
    <row r="55" spans="1:19" x14ac:dyDescent="0.25">
      <c r="A55" s="135">
        <v>53</v>
      </c>
      <c r="B55" s="278" t="s">
        <v>121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9"/>
    </row>
    <row r="56" spans="1:19" x14ac:dyDescent="0.25">
      <c r="A56" s="124">
        <v>54</v>
      </c>
      <c r="B56" s="278" t="s">
        <v>122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9"/>
    </row>
    <row r="57" spans="1:19" x14ac:dyDescent="0.25">
      <c r="A57" s="135">
        <v>55</v>
      </c>
      <c r="B57" s="278" t="s">
        <v>123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69"/>
    </row>
    <row r="58" spans="1:19" x14ac:dyDescent="0.25">
      <c r="A58" s="124">
        <v>56</v>
      </c>
      <c r="B58" s="278" t="s">
        <v>124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69"/>
    </row>
    <row r="59" spans="1:19" x14ac:dyDescent="0.25">
      <c r="A59" s="135">
        <v>57</v>
      </c>
      <c r="B59" s="278" t="s">
        <v>125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69"/>
    </row>
    <row r="60" spans="1:19" x14ac:dyDescent="0.25">
      <c r="A60" s="124">
        <v>58</v>
      </c>
      <c r="B60" s="278" t="s">
        <v>126</v>
      </c>
      <c r="C60" s="279" t="e">
        <f t="shared" si="1"/>
        <v>#VALUE!</v>
      </c>
      <c r="D60" s="275"/>
      <c r="E60" s="275"/>
      <c r="F60" s="275"/>
      <c r="G60" s="275"/>
      <c r="H60" s="275"/>
      <c r="I60" s="275"/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69"/>
    </row>
    <row r="61" spans="1:19" x14ac:dyDescent="0.25">
      <c r="A61" s="135">
        <v>59</v>
      </c>
      <c r="B61" s="278" t="s">
        <v>127</v>
      </c>
      <c r="C61" s="279" t="e">
        <f t="shared" si="1"/>
        <v>#VALUE!</v>
      </c>
      <c r="D61" s="275"/>
      <c r="E61" s="275"/>
      <c r="F61" s="275"/>
      <c r="G61" s="275"/>
      <c r="H61" s="275"/>
      <c r="I61" s="275"/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69"/>
    </row>
    <row r="62" spans="1:19" x14ac:dyDescent="0.25">
      <c r="A62" s="124">
        <v>60</v>
      </c>
      <c r="B62" s="278" t="s">
        <v>752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69"/>
    </row>
    <row r="63" spans="1:19" x14ac:dyDescent="0.25">
      <c r="A63" s="135">
        <v>61</v>
      </c>
      <c r="B63" s="278" t="s">
        <v>753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/>
      <c r="K63" s="275"/>
      <c r="L63" s="275"/>
      <c r="M63" s="275"/>
      <c r="N63" s="275"/>
      <c r="O63" s="275"/>
      <c r="P63" s="275"/>
      <c r="Q63" s="275"/>
      <c r="R63" s="275"/>
      <c r="S63" s="169"/>
    </row>
    <row r="64" spans="1:19" x14ac:dyDescent="0.25">
      <c r="A64" s="124">
        <v>62</v>
      </c>
      <c r="B64" s="278" t="s">
        <v>754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/>
      <c r="K64" s="275"/>
      <c r="L64" s="275"/>
      <c r="M64" s="275"/>
      <c r="N64" s="275"/>
      <c r="O64" s="275"/>
      <c r="P64" s="275"/>
      <c r="Q64" s="275"/>
      <c r="R64" s="275"/>
      <c r="S64" s="169"/>
    </row>
    <row r="65" spans="1:19" x14ac:dyDescent="0.25">
      <c r="A65" s="135">
        <v>63</v>
      </c>
      <c r="B65" s="278" t="s">
        <v>755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/>
      <c r="K65" s="275"/>
      <c r="L65" s="275"/>
      <c r="M65" s="275"/>
      <c r="N65" s="275"/>
      <c r="O65" s="275"/>
      <c r="P65" s="275"/>
      <c r="Q65" s="275"/>
      <c r="R65" s="275"/>
      <c r="S65" s="169"/>
    </row>
    <row r="66" spans="1:19" x14ac:dyDescent="0.25">
      <c r="A66" s="124">
        <v>64</v>
      </c>
      <c r="B66" s="278" t="s">
        <v>756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/>
      <c r="K66" s="275"/>
      <c r="L66" s="275"/>
      <c r="M66" s="275"/>
      <c r="N66" s="275"/>
      <c r="O66" s="275"/>
      <c r="P66" s="275"/>
      <c r="Q66" s="275"/>
      <c r="R66" s="275"/>
      <c r="S66" s="169"/>
    </row>
    <row r="67" spans="1:19" x14ac:dyDescent="0.25">
      <c r="A67" s="135">
        <v>65</v>
      </c>
      <c r="B67" s="278" t="s">
        <v>757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5"/>
      <c r="P67" s="275"/>
      <c r="Q67" s="275"/>
      <c r="R67" s="275"/>
      <c r="S67" s="169"/>
    </row>
    <row r="68" spans="1:19" x14ac:dyDescent="0.25">
      <c r="A68" s="124">
        <v>66</v>
      </c>
      <c r="B68" s="278" t="s">
        <v>758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/>
      <c r="K68" s="275"/>
      <c r="L68" s="275"/>
      <c r="M68" s="275"/>
      <c r="N68" s="275"/>
      <c r="O68" s="275"/>
      <c r="P68" s="275"/>
      <c r="Q68" s="275"/>
      <c r="R68" s="275"/>
      <c r="S68" s="169"/>
    </row>
    <row r="69" spans="1:19" x14ac:dyDescent="0.25">
      <c r="A69" s="135">
        <v>67</v>
      </c>
      <c r="B69" s="278" t="s">
        <v>759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/>
      <c r="K69" s="275"/>
      <c r="L69" s="275"/>
      <c r="M69" s="275"/>
      <c r="N69" s="275"/>
      <c r="O69" s="275"/>
      <c r="P69" s="275"/>
      <c r="Q69" s="275"/>
      <c r="R69" s="275"/>
      <c r="S69" s="169"/>
    </row>
    <row r="70" spans="1:19" x14ac:dyDescent="0.25">
      <c r="A70" s="124">
        <v>68</v>
      </c>
      <c r="B70" s="278" t="s">
        <v>760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/>
      <c r="K70" s="275"/>
      <c r="L70" s="275"/>
      <c r="M70" s="275"/>
      <c r="N70" s="275"/>
      <c r="O70" s="275"/>
      <c r="P70" s="275"/>
      <c r="Q70" s="275"/>
      <c r="R70" s="275"/>
      <c r="S70" s="169"/>
    </row>
    <row r="71" spans="1:19" x14ac:dyDescent="0.25">
      <c r="A71" s="135">
        <v>69</v>
      </c>
      <c r="B71" s="278" t="s">
        <v>761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/>
      <c r="K71" s="275"/>
      <c r="L71" s="275"/>
      <c r="M71" s="275"/>
      <c r="N71" s="275"/>
      <c r="O71" s="275"/>
      <c r="P71" s="275"/>
      <c r="Q71" s="275"/>
      <c r="R71" s="275"/>
      <c r="S71" s="169"/>
    </row>
    <row r="72" spans="1:19" x14ac:dyDescent="0.25">
      <c r="A72" s="124">
        <v>70</v>
      </c>
      <c r="B72" s="278" t="s">
        <v>762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/>
      <c r="K72" s="275"/>
      <c r="L72" s="275"/>
      <c r="M72" s="275"/>
      <c r="N72" s="275"/>
      <c r="O72" s="275"/>
      <c r="P72" s="275"/>
      <c r="Q72" s="275"/>
      <c r="R72" s="275"/>
      <c r="S72" s="169"/>
    </row>
    <row r="73" spans="1:19" x14ac:dyDescent="0.25">
      <c r="A73" s="135">
        <v>71</v>
      </c>
      <c r="B73" s="278" t="s">
        <v>763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/>
      <c r="K73" s="275"/>
      <c r="L73" s="275"/>
      <c r="M73" s="275"/>
      <c r="N73" s="275"/>
      <c r="O73" s="275"/>
      <c r="P73" s="275"/>
      <c r="Q73" s="275"/>
      <c r="R73" s="275"/>
      <c r="S73" s="169"/>
    </row>
    <row r="74" spans="1:19" x14ac:dyDescent="0.25">
      <c r="A74" s="124">
        <v>72</v>
      </c>
      <c r="B74" s="278" t="s">
        <v>764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5"/>
      <c r="S74" s="169"/>
    </row>
    <row r="75" spans="1:19" x14ac:dyDescent="0.25">
      <c r="A75" s="135">
        <v>73</v>
      </c>
      <c r="B75" s="278" t="s">
        <v>765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5"/>
      <c r="S75" s="169"/>
    </row>
    <row r="76" spans="1:19" x14ac:dyDescent="0.25">
      <c r="A76" s="124">
        <v>74</v>
      </c>
      <c r="B76" s="278" t="s">
        <v>766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5"/>
      <c r="S76" s="169"/>
    </row>
    <row r="77" spans="1:19" x14ac:dyDescent="0.25">
      <c r="A77" s="135">
        <v>75</v>
      </c>
      <c r="B77" s="278" t="s">
        <v>767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5"/>
      <c r="S77" s="169"/>
    </row>
    <row r="78" spans="1:19" x14ac:dyDescent="0.25">
      <c r="A78" s="124">
        <v>76</v>
      </c>
      <c r="B78" s="278" t="s">
        <v>768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/>
      <c r="K78" s="275"/>
      <c r="L78" s="275"/>
      <c r="M78" s="275"/>
      <c r="N78" s="275"/>
      <c r="O78" s="275"/>
      <c r="P78" s="275"/>
      <c r="Q78" s="275"/>
      <c r="R78" s="275"/>
      <c r="S78" s="169"/>
    </row>
    <row r="79" spans="1:19" x14ac:dyDescent="0.25">
      <c r="A79" s="135">
        <v>77</v>
      </c>
      <c r="B79" s="278" t="s">
        <v>769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/>
      <c r="K79" s="275"/>
      <c r="L79" s="275"/>
      <c r="M79" s="275"/>
      <c r="N79" s="275"/>
      <c r="O79" s="275"/>
      <c r="P79" s="275"/>
      <c r="Q79" s="275"/>
      <c r="R79" s="275"/>
      <c r="S79" s="169"/>
    </row>
    <row r="80" spans="1:19" x14ac:dyDescent="0.25">
      <c r="A80" s="124">
        <v>78</v>
      </c>
      <c r="B80" s="278" t="s">
        <v>770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/>
      <c r="K80" s="275"/>
      <c r="L80" s="275"/>
      <c r="M80" s="275"/>
      <c r="N80" s="275"/>
      <c r="O80" s="275"/>
      <c r="P80" s="275"/>
      <c r="Q80" s="275"/>
      <c r="R80" s="275"/>
      <c r="S80" s="169"/>
    </row>
    <row r="81" spans="1:19" x14ac:dyDescent="0.25">
      <c r="A81" s="135">
        <v>79</v>
      </c>
      <c r="B81" s="278" t="s">
        <v>771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/>
      <c r="K81" s="275"/>
      <c r="L81" s="275"/>
      <c r="M81" s="275"/>
      <c r="N81" s="275"/>
      <c r="O81" s="275"/>
      <c r="P81" s="275"/>
      <c r="Q81" s="275"/>
      <c r="R81" s="275"/>
      <c r="S81" s="169"/>
    </row>
    <row r="82" spans="1:19" x14ac:dyDescent="0.25">
      <c r="A82" s="124">
        <v>80</v>
      </c>
      <c r="B82" s="278" t="s">
        <v>772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/>
      <c r="K82" s="275"/>
      <c r="L82" s="275"/>
      <c r="M82" s="275"/>
      <c r="N82" s="275"/>
      <c r="O82" s="275"/>
      <c r="P82" s="275"/>
      <c r="Q82" s="275"/>
      <c r="R82" s="275"/>
      <c r="S82" s="169"/>
    </row>
    <row r="83" spans="1:19" x14ac:dyDescent="0.25">
      <c r="A83" s="135">
        <v>81</v>
      </c>
      <c r="B83" s="278" t="s">
        <v>773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/>
      <c r="K83" s="275"/>
      <c r="L83" s="275"/>
      <c r="M83" s="275"/>
      <c r="N83" s="275"/>
      <c r="O83" s="275"/>
      <c r="P83" s="275"/>
      <c r="Q83" s="275"/>
      <c r="R83" s="275"/>
      <c r="S83" s="169"/>
    </row>
    <row r="84" spans="1:19" x14ac:dyDescent="0.25">
      <c r="A84" s="124">
        <v>82</v>
      </c>
      <c r="B84" s="278" t="s">
        <v>774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/>
      <c r="K84" s="275"/>
      <c r="L84" s="275"/>
      <c r="M84" s="275"/>
      <c r="N84" s="275"/>
      <c r="O84" s="275"/>
      <c r="P84" s="275"/>
      <c r="Q84" s="275"/>
      <c r="R84" s="275"/>
      <c r="S84" s="169"/>
    </row>
    <row r="85" spans="1:19" x14ac:dyDescent="0.25">
      <c r="A85" s="135">
        <v>83</v>
      </c>
      <c r="B85" s="278" t="s">
        <v>775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/>
      <c r="K85" s="275"/>
      <c r="L85" s="275"/>
      <c r="M85" s="275"/>
      <c r="N85" s="275"/>
      <c r="O85" s="275"/>
      <c r="P85" s="275"/>
      <c r="Q85" s="275"/>
      <c r="R85" s="275"/>
      <c r="S85" s="169"/>
    </row>
    <row r="86" spans="1:19" x14ac:dyDescent="0.25">
      <c r="A86" s="124">
        <v>84</v>
      </c>
      <c r="B86" s="278" t="s">
        <v>776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/>
      <c r="K86" s="275"/>
      <c r="L86" s="275"/>
      <c r="M86" s="275"/>
      <c r="N86" s="275"/>
      <c r="O86" s="275"/>
      <c r="P86" s="275"/>
      <c r="Q86" s="275"/>
      <c r="R86" s="275"/>
      <c r="S86" s="169"/>
    </row>
    <row r="87" spans="1:19" x14ac:dyDescent="0.25">
      <c r="A87" s="135">
        <v>85</v>
      </c>
      <c r="B87" s="278" t="s">
        <v>777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/>
      <c r="K87" s="275"/>
      <c r="L87" s="275"/>
      <c r="M87" s="275"/>
      <c r="N87" s="275"/>
      <c r="O87" s="275"/>
      <c r="P87" s="275"/>
      <c r="Q87" s="275"/>
      <c r="R87" s="275"/>
      <c r="S87" s="169"/>
    </row>
    <row r="88" spans="1:19" x14ac:dyDescent="0.25">
      <c r="A88" s="124">
        <v>86</v>
      </c>
      <c r="B88" s="278" t="s">
        <v>778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/>
      <c r="K88" s="275"/>
      <c r="L88" s="275"/>
      <c r="M88" s="275"/>
      <c r="N88" s="275"/>
      <c r="O88" s="275"/>
      <c r="P88" s="275"/>
      <c r="Q88" s="275"/>
      <c r="R88" s="275"/>
      <c r="S88" s="169"/>
    </row>
    <row r="89" spans="1:19" x14ac:dyDescent="0.25">
      <c r="A89" s="135">
        <v>87</v>
      </c>
      <c r="B89" s="278" t="s">
        <v>779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/>
      <c r="K89" s="275"/>
      <c r="L89" s="275"/>
      <c r="M89" s="275"/>
      <c r="N89" s="275"/>
      <c r="O89" s="275"/>
      <c r="P89" s="275"/>
      <c r="Q89" s="275"/>
      <c r="R89" s="275"/>
      <c r="S89" s="169"/>
    </row>
    <row r="90" spans="1:19" x14ac:dyDescent="0.25">
      <c r="A90" s="124">
        <v>88</v>
      </c>
      <c r="B90" s="278" t="s">
        <v>780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/>
      <c r="K90" s="275"/>
      <c r="L90" s="275"/>
      <c r="M90" s="275"/>
      <c r="N90" s="275"/>
      <c r="O90" s="275"/>
      <c r="P90" s="275"/>
      <c r="Q90" s="275"/>
      <c r="R90" s="275"/>
      <c r="S90" s="169"/>
    </row>
    <row r="91" spans="1:19" x14ac:dyDescent="0.25">
      <c r="A91" s="135">
        <v>89</v>
      </c>
      <c r="B91" s="278" t="s">
        <v>781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/>
      <c r="K91" s="275"/>
      <c r="L91" s="275"/>
      <c r="M91" s="275"/>
      <c r="N91" s="275"/>
      <c r="O91" s="275"/>
      <c r="P91" s="275"/>
      <c r="Q91" s="275"/>
      <c r="R91" s="275"/>
      <c r="S91" s="169"/>
    </row>
    <row r="92" spans="1:19" x14ac:dyDescent="0.25">
      <c r="A92" s="124">
        <v>90</v>
      </c>
      <c r="B92" s="278" t="s">
        <v>782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/>
      <c r="K92" s="275"/>
      <c r="L92" s="275"/>
      <c r="M92" s="275"/>
      <c r="N92" s="275"/>
      <c r="O92" s="275"/>
      <c r="P92" s="275"/>
      <c r="Q92" s="275"/>
      <c r="R92" s="275"/>
      <c r="S92" s="169"/>
    </row>
    <row r="93" spans="1:19" x14ac:dyDescent="0.25">
      <c r="A93" s="135">
        <v>91</v>
      </c>
      <c r="B93" s="278" t="s">
        <v>783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/>
      <c r="K93" s="275"/>
      <c r="L93" s="275"/>
      <c r="M93" s="275"/>
      <c r="N93" s="275"/>
      <c r="O93" s="275"/>
      <c r="P93" s="275"/>
      <c r="Q93" s="275"/>
      <c r="R93" s="275"/>
      <c r="S93" s="169"/>
    </row>
    <row r="94" spans="1:19" x14ac:dyDescent="0.25">
      <c r="A94" s="124">
        <v>92</v>
      </c>
      <c r="B94" s="278" t="s">
        <v>784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/>
      <c r="K94" s="275"/>
      <c r="L94" s="275"/>
      <c r="M94" s="275"/>
      <c r="N94" s="275"/>
      <c r="O94" s="275"/>
      <c r="P94" s="275"/>
      <c r="Q94" s="275"/>
      <c r="R94" s="275"/>
      <c r="S94" s="169"/>
    </row>
    <row r="95" spans="1:19" x14ac:dyDescent="0.25">
      <c r="A95" s="135">
        <v>93</v>
      </c>
      <c r="B95" s="278" t="s">
        <v>785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/>
      <c r="K95" s="275"/>
      <c r="L95" s="275"/>
      <c r="M95" s="275"/>
      <c r="N95" s="275"/>
      <c r="O95" s="275"/>
      <c r="P95" s="275"/>
      <c r="Q95" s="275"/>
      <c r="R95" s="275"/>
      <c r="S95" s="169"/>
    </row>
    <row r="96" spans="1:19" x14ac:dyDescent="0.25">
      <c r="A96" s="124">
        <v>94</v>
      </c>
      <c r="B96" s="278" t="s">
        <v>786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/>
      <c r="K96" s="275"/>
      <c r="L96" s="275"/>
      <c r="M96" s="275"/>
      <c r="N96" s="275"/>
      <c r="O96" s="275"/>
      <c r="P96" s="275"/>
      <c r="Q96" s="275"/>
      <c r="R96" s="275"/>
      <c r="S96" s="169"/>
    </row>
    <row r="97" spans="1:19" x14ac:dyDescent="0.25">
      <c r="A97" s="135">
        <v>95</v>
      </c>
      <c r="B97" s="278" t="s">
        <v>787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/>
      <c r="K97" s="275"/>
      <c r="L97" s="275"/>
      <c r="M97" s="275"/>
      <c r="N97" s="275"/>
      <c r="O97" s="275"/>
      <c r="P97" s="275"/>
      <c r="Q97" s="275"/>
      <c r="R97" s="275"/>
      <c r="S97" s="169"/>
    </row>
    <row r="98" spans="1:19" x14ac:dyDescent="0.25">
      <c r="A98" s="124">
        <v>96</v>
      </c>
      <c r="B98" s="278" t="s">
        <v>788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/>
      <c r="K98" s="275"/>
      <c r="L98" s="275"/>
      <c r="M98" s="275"/>
      <c r="N98" s="275"/>
      <c r="O98" s="275"/>
      <c r="P98" s="275"/>
      <c r="Q98" s="275"/>
      <c r="R98" s="275"/>
      <c r="S98" s="169"/>
    </row>
    <row r="99" spans="1:19" x14ac:dyDescent="0.25">
      <c r="A99" s="135">
        <v>97</v>
      </c>
      <c r="B99" s="278" t="s">
        <v>789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/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98</v>
      </c>
      <c r="B100" s="278" t="s">
        <v>790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/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99</v>
      </c>
      <c r="B101" s="278" t="s">
        <v>791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/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100</v>
      </c>
      <c r="B102" s="278" t="s">
        <v>792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/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35">
        <v>101</v>
      </c>
      <c r="B103" s="278" t="s">
        <v>793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/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6">
    <mergeCell ref="B1:S1"/>
    <mergeCell ref="H4:I4"/>
    <mergeCell ref="H20:I20"/>
    <mergeCell ref="L2:M2"/>
    <mergeCell ref="N2:P2"/>
    <mergeCell ref="Q2:S2"/>
  </mergeCells>
  <phoneticPr fontId="74" type="noConversion"/>
  <conditionalFormatting sqref="H41">
    <cfRule type="cellIs" dxfId="286" priority="13" operator="equal">
      <formula>#N/A</formula>
    </cfRule>
  </conditionalFormatting>
  <conditionalFormatting sqref="H3 H22:H41 H6:H18">
    <cfRule type="cellIs" dxfId="285" priority="12" operator="equal">
      <formula>#N/A</formula>
    </cfRule>
  </conditionalFormatting>
  <conditionalFormatting sqref="H42">
    <cfRule type="cellIs" dxfId="284" priority="11" operator="equal">
      <formula>#N/A</formula>
    </cfRule>
  </conditionalFormatting>
  <conditionalFormatting sqref="G2">
    <cfRule type="cellIs" dxfId="283" priority="10" operator="equal">
      <formula>#N/A</formula>
    </cfRule>
  </conditionalFormatting>
  <conditionalFormatting sqref="I6:I18 I22:I59">
    <cfRule type="cellIs" dxfId="282" priority="9" operator="equal">
      <formula>#N/A</formula>
    </cfRule>
  </conditionalFormatting>
  <conditionalFormatting sqref="H19">
    <cfRule type="cellIs" dxfId="281" priority="8" operator="equal">
      <formula>#N/A</formula>
    </cfRule>
  </conditionalFormatting>
  <conditionalFormatting sqref="S6:S18">
    <cfRule type="cellIs" dxfId="280" priority="6" operator="equal">
      <formula>"DRY"</formula>
    </cfRule>
    <cfRule type="cellIs" dxfId="279" priority="7" operator="equal">
      <formula>"CH"</formula>
    </cfRule>
  </conditionalFormatting>
  <conditionalFormatting sqref="S22:S98">
    <cfRule type="cellIs" dxfId="278" priority="4" operator="equal">
      <formula>"DRY"</formula>
    </cfRule>
    <cfRule type="cellIs" dxfId="277" priority="5" operator="equal">
      <formula>"CHILLER"</formula>
    </cfRule>
  </conditionalFormatting>
  <conditionalFormatting sqref="H5">
    <cfRule type="cellIs" dxfId="276" priority="2" operator="equal">
      <formula>#N/A</formula>
    </cfRule>
  </conditionalFormatting>
  <conditionalFormatting sqref="H21">
    <cfRule type="cellIs" dxfId="275" priority="1" operator="equal">
      <formula>#N/A</formula>
    </cfRule>
  </conditionalFormatting>
  <dataValidations count="1">
    <dataValidation type="list" allowBlank="1" showInputMessage="1" showErrorMessage="1" sqref="S22:S98 S6:S18" xr:uid="{00000000-0002-0000-0100-000000000000}">
      <formula1>TEMP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19050</xdr:colOff>
                    <xdr:row>2</xdr:row>
                    <xdr:rowOff>152400</xdr:rowOff>
                  </from>
                  <to>
                    <xdr:col>21</xdr:col>
                    <xdr:colOff>104775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S103"/>
  <sheetViews>
    <sheetView topLeftCell="B1" zoomScaleNormal="100" zoomScaleSheetLayoutView="100" workbookViewId="0">
      <pane ySplit="4" topLeftCell="A5" activePane="bottomLeft" state="frozen"/>
      <selection activeCell="F16" sqref="F16"/>
      <selection pane="bottomLeft" activeCell="F17" sqref="F17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.85546875" customWidth="1"/>
    <col min="7" max="7" width="16" customWidth="1"/>
    <col min="8" max="8" width="36.7109375" customWidth="1"/>
    <col min="9" max="9" width="40.5703125" customWidth="1"/>
    <col min="10" max="10" width="11.85546875" customWidth="1"/>
    <col min="11" max="11" width="12.7109375" customWidth="1"/>
    <col min="12" max="12" width="6.5703125" customWidth="1"/>
    <col min="13" max="13" width="7" customWidth="1"/>
    <col min="14" max="14" width="5.140625" hidden="1" customWidth="1"/>
    <col min="15" max="15" width="0.140625" customWidth="1"/>
    <col min="16" max="16" width="14.85546875" customWidth="1"/>
    <col min="17" max="17" width="10.42578125" customWidth="1"/>
    <col min="18" max="18" width="14.85546875" customWidth="1"/>
    <col min="19" max="19" width="0.28515625" customWidth="1"/>
  </cols>
  <sheetData>
    <row r="1" spans="1:19" ht="36.75" customHeight="1" thickBot="1" x14ac:dyDescent="0.3">
      <c r="A1" s="1"/>
      <c r="B1" s="1"/>
      <c r="C1" s="1"/>
      <c r="D1" s="1"/>
      <c r="E1" s="1"/>
      <c r="F1" s="2"/>
      <c r="G1" s="1"/>
      <c r="H1" s="1"/>
      <c r="I1" s="3"/>
      <c r="J1" s="1"/>
      <c r="K1" s="1"/>
      <c r="L1" s="4"/>
      <c r="M1" s="4"/>
      <c r="N1" s="4"/>
      <c r="O1" s="4"/>
      <c r="P1" s="4"/>
      <c r="Q1" s="4"/>
      <c r="R1" s="1"/>
    </row>
    <row r="2" spans="1:19" ht="66.75" customHeight="1" thickBot="1" x14ac:dyDescent="0.55000000000000004">
      <c r="A2" s="106"/>
      <c r="B2" s="173"/>
      <c r="C2" s="106"/>
      <c r="D2" s="174"/>
      <c r="E2" s="174"/>
      <c r="F2" s="106" t="s">
        <v>32</v>
      </c>
      <c r="G2" s="106"/>
      <c r="H2" s="106"/>
      <c r="I2" s="175"/>
      <c r="J2" s="176"/>
      <c r="K2" s="106"/>
      <c r="L2" s="323" t="s">
        <v>53</v>
      </c>
      <c r="M2" s="324"/>
      <c r="N2" s="315" t="str">
        <f>Monday!N2</f>
        <v>xxxx</v>
      </c>
      <c r="O2" s="316"/>
      <c r="P2" s="317"/>
      <c r="Q2" s="318" t="e">
        <f>N2-5</f>
        <v>#VALUE!</v>
      </c>
      <c r="R2" s="319"/>
      <c r="S2" s="320"/>
    </row>
    <row r="3" spans="1:19" ht="18" customHeight="1" thickBot="1" x14ac:dyDescent="0.3">
      <c r="A3" s="185"/>
      <c r="B3" s="194" t="s">
        <v>2</v>
      </c>
      <c r="C3" s="194" t="s">
        <v>3</v>
      </c>
      <c r="D3" s="195" t="s">
        <v>37</v>
      </c>
      <c r="E3" s="196" t="s">
        <v>46</v>
      </c>
      <c r="F3" s="187" t="s">
        <v>4</v>
      </c>
      <c r="G3" s="187" t="s">
        <v>38</v>
      </c>
      <c r="H3" s="187" t="s">
        <v>39</v>
      </c>
      <c r="I3" s="188" t="s">
        <v>40</v>
      </c>
      <c r="J3" s="187" t="s">
        <v>48</v>
      </c>
      <c r="K3" s="187" t="s">
        <v>49</v>
      </c>
      <c r="L3" s="187" t="s">
        <v>11</v>
      </c>
      <c r="M3" s="187" t="s">
        <v>13</v>
      </c>
      <c r="N3" s="187" t="s">
        <v>14</v>
      </c>
      <c r="O3" s="187" t="s">
        <v>15</v>
      </c>
      <c r="P3" s="187" t="s">
        <v>16</v>
      </c>
      <c r="Q3" s="187" t="s">
        <v>56</v>
      </c>
      <c r="R3" s="187" t="s">
        <v>47</v>
      </c>
      <c r="S3" s="189"/>
    </row>
    <row r="4" spans="1:19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19" ht="26.2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19" ht="16.5" customHeight="1" x14ac:dyDescent="0.25">
      <c r="A6" s="135">
        <v>1</v>
      </c>
      <c r="B6" s="275" t="s">
        <v>128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 t="str">
        <f>IF(H6="","",(VLOOKUP(H6,'Reference List'!$B$3:$F$202,5,FALSE)))</f>
        <v/>
      </c>
      <c r="K6" s="275"/>
      <c r="L6" s="275"/>
      <c r="M6" s="275"/>
      <c r="N6" s="275"/>
      <c r="O6" s="275"/>
      <c r="P6" s="275"/>
      <c r="Q6" s="275"/>
      <c r="R6" s="275"/>
      <c r="S6" s="198" t="s">
        <v>483</v>
      </c>
    </row>
    <row r="7" spans="1:19" x14ac:dyDescent="0.25">
      <c r="A7" s="124">
        <v>2</v>
      </c>
      <c r="B7" s="275" t="s">
        <v>129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 t="str">
        <f>IF(H7="","",(VLOOKUP(H7,'Reference List'!$B$3:$F$202,5,FALSE)))</f>
        <v/>
      </c>
      <c r="K7" s="275"/>
      <c r="L7" s="275"/>
      <c r="M7" s="275"/>
      <c r="N7" s="275"/>
      <c r="O7" s="275"/>
      <c r="P7" s="275"/>
      <c r="Q7" s="275"/>
      <c r="R7" s="275"/>
      <c r="S7" s="198"/>
    </row>
    <row r="8" spans="1:19" ht="16.5" customHeight="1" x14ac:dyDescent="0.25">
      <c r="A8" s="135">
        <v>3</v>
      </c>
      <c r="B8" s="275" t="s">
        <v>130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 t="str">
        <f>IF(H8="","",(VLOOKUP(H8,'Reference List'!$B$3:$F$202,5,FALSE)))</f>
        <v/>
      </c>
      <c r="K8" s="275"/>
      <c r="L8" s="275"/>
      <c r="M8" s="275"/>
      <c r="N8" s="275"/>
      <c r="O8" s="275"/>
      <c r="P8" s="275"/>
      <c r="Q8" s="275"/>
      <c r="R8" s="275"/>
      <c r="S8" s="198" t="s">
        <v>484</v>
      </c>
    </row>
    <row r="9" spans="1:19" x14ac:dyDescent="0.25">
      <c r="A9" s="124">
        <v>4</v>
      </c>
      <c r="B9" s="275" t="s">
        <v>131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 t="str">
        <f>IF(H9="","",(VLOOKUP(H9,'Reference List'!$B$3:$F$202,5,FALSE)))</f>
        <v/>
      </c>
      <c r="K9" s="275"/>
      <c r="L9" s="275"/>
      <c r="M9" s="275"/>
      <c r="N9" s="275"/>
      <c r="O9" s="275"/>
      <c r="P9" s="275"/>
      <c r="Q9" s="275"/>
      <c r="R9" s="275"/>
      <c r="S9" s="198"/>
    </row>
    <row r="10" spans="1:19" x14ac:dyDescent="0.25">
      <c r="A10" s="135">
        <v>5</v>
      </c>
      <c r="B10" s="275" t="s">
        <v>132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 t="str">
        <f>IF(H10="","",(VLOOKUP(H10,'Reference List'!$B$3:$F$202,5,FALSE)))</f>
        <v/>
      </c>
      <c r="K10" s="275"/>
      <c r="L10" s="275"/>
      <c r="M10" s="275"/>
      <c r="N10" s="275"/>
      <c r="O10" s="275"/>
      <c r="P10" s="275"/>
      <c r="Q10" s="275"/>
      <c r="R10" s="275"/>
      <c r="S10" s="168"/>
    </row>
    <row r="11" spans="1:19" x14ac:dyDescent="0.25">
      <c r="A11" s="124">
        <v>6</v>
      </c>
      <c r="B11" s="275" t="s">
        <v>133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 t="str">
        <f>IF(H11="","",(VLOOKUP(H11,'Reference List'!$B$3:$F$202,5,FALSE)))</f>
        <v/>
      </c>
      <c r="K11" s="275"/>
      <c r="L11" s="275"/>
      <c r="M11" s="275"/>
      <c r="N11" s="275"/>
      <c r="O11" s="275"/>
      <c r="P11" s="275"/>
      <c r="Q11" s="275"/>
      <c r="R11" s="275"/>
      <c r="S11" s="168"/>
    </row>
    <row r="12" spans="1:19" x14ac:dyDescent="0.25">
      <c r="A12" s="135">
        <v>7</v>
      </c>
      <c r="B12" s="275" t="s">
        <v>134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 t="str">
        <f>IF(H12="","",(VLOOKUP(H12,'Reference List'!$B$3:$F$202,5,FALSE)))</f>
        <v/>
      </c>
      <c r="K12" s="275"/>
      <c r="L12" s="275"/>
      <c r="M12" s="275"/>
      <c r="N12" s="275"/>
      <c r="O12" s="275"/>
      <c r="P12" s="275"/>
      <c r="Q12" s="275"/>
      <c r="R12" s="275"/>
      <c r="S12" s="168"/>
    </row>
    <row r="13" spans="1:19" x14ac:dyDescent="0.25">
      <c r="A13" s="124">
        <v>8</v>
      </c>
      <c r="B13" s="275" t="s">
        <v>135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 t="str">
        <f>IF(H13="","",(VLOOKUP(H13,'Reference List'!$B$3:$F$202,5,FALSE)))</f>
        <v/>
      </c>
      <c r="K13" s="275"/>
      <c r="L13" s="275"/>
      <c r="M13" s="275"/>
      <c r="N13" s="275"/>
      <c r="O13" s="275"/>
      <c r="P13" s="275"/>
      <c r="Q13" s="275"/>
      <c r="R13" s="275"/>
      <c r="S13" s="168"/>
    </row>
    <row r="14" spans="1:19" x14ac:dyDescent="0.25">
      <c r="A14" s="135">
        <v>9</v>
      </c>
      <c r="B14" s="275" t="s">
        <v>136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 t="str">
        <f>IF(H14="","",(VLOOKUP(H14,'Reference List'!$B$3:$F$202,5,FALSE)))</f>
        <v/>
      </c>
      <c r="K14" s="275"/>
      <c r="L14" s="275"/>
      <c r="M14" s="275"/>
      <c r="N14" s="275"/>
      <c r="O14" s="275"/>
      <c r="P14" s="275"/>
      <c r="Q14" s="275"/>
      <c r="R14" s="275"/>
      <c r="S14" s="168"/>
    </row>
    <row r="15" spans="1:19" x14ac:dyDescent="0.25">
      <c r="A15" s="124">
        <v>10</v>
      </c>
      <c r="B15" s="275" t="s">
        <v>137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 t="str">
        <f>IF(H15="","",(VLOOKUP(H15,'Reference List'!$B$3:$F$202,5,FALSE)))</f>
        <v/>
      </c>
      <c r="K15" s="275"/>
      <c r="L15" s="275"/>
      <c r="M15" s="275"/>
      <c r="N15" s="275"/>
      <c r="O15" s="275"/>
      <c r="P15" s="275"/>
      <c r="Q15" s="275"/>
      <c r="R15" s="275"/>
      <c r="S15" s="168"/>
    </row>
    <row r="16" spans="1:19" x14ac:dyDescent="0.25">
      <c r="A16" s="135">
        <v>11</v>
      </c>
      <c r="B16" s="275" t="s">
        <v>138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 t="str">
        <f>IF(H16="","",(VLOOKUP(H16,'Reference List'!$B$3:$F$202,5,FALSE)))</f>
        <v/>
      </c>
      <c r="K16" s="275"/>
      <c r="L16" s="275"/>
      <c r="M16" s="275"/>
      <c r="N16" s="275"/>
      <c r="O16" s="275"/>
      <c r="P16" s="275"/>
      <c r="Q16" s="275"/>
      <c r="R16" s="275"/>
      <c r="S16" s="168"/>
    </row>
    <row r="17" spans="1:19" x14ac:dyDescent="0.25">
      <c r="A17" s="124">
        <v>12</v>
      </c>
      <c r="B17" s="275" t="s">
        <v>139</v>
      </c>
      <c r="C17" s="279" t="e">
        <f t="shared" si="0"/>
        <v>#VALUE!</v>
      </c>
      <c r="D17" s="275"/>
      <c r="E17" s="275"/>
      <c r="F17" s="275"/>
      <c r="G17" s="275"/>
      <c r="H17" s="275"/>
      <c r="I17" s="275" t="str">
        <f>IF(H17="","",(VLOOKUP(H17,'Reference List'!$B$3:$D$173,2,FALSE)))</f>
        <v/>
      </c>
      <c r="J17" s="276" t="str">
        <f>IF(H17="","",(VLOOKUP(H17,'Reference List'!$B$3:$F$202,5,FALSE)))</f>
        <v/>
      </c>
      <c r="K17" s="275"/>
      <c r="L17" s="275"/>
      <c r="M17" s="275"/>
      <c r="N17" s="275"/>
      <c r="O17" s="275"/>
      <c r="P17" s="275"/>
      <c r="Q17" s="275"/>
      <c r="R17" s="275"/>
      <c r="S17" s="168"/>
    </row>
    <row r="18" spans="1:19" ht="15.75" thickBot="1" x14ac:dyDescent="0.3">
      <c r="A18" s="135">
        <v>13</v>
      </c>
      <c r="B18" s="275" t="s">
        <v>140</v>
      </c>
      <c r="C18" s="279" t="e">
        <f t="shared" si="0"/>
        <v>#VALUE!</v>
      </c>
      <c r="D18" s="275"/>
      <c r="E18" s="275"/>
      <c r="F18" s="275"/>
      <c r="G18" s="275"/>
      <c r="H18" s="275"/>
      <c r="I18" s="275" t="str">
        <f>IF(H18="","",(VLOOKUP(H18,'Reference List'!$B$3:$D$173,2,FALSE)))</f>
        <v/>
      </c>
      <c r="J18" s="276" t="str">
        <f>IF(H18="","",(VLOOKUP(H18,'Reference List'!$B$3:$F$202,5,FALSE)))</f>
        <v/>
      </c>
      <c r="K18" s="275"/>
      <c r="L18" s="275"/>
      <c r="M18" s="275"/>
      <c r="N18" s="275"/>
      <c r="O18" s="275"/>
      <c r="P18" s="275"/>
      <c r="Q18" s="275"/>
      <c r="R18" s="275"/>
      <c r="S18" s="198"/>
    </row>
    <row r="19" spans="1:19" ht="22.5" customHeight="1" thickBot="1" x14ac:dyDescent="0.3">
      <c r="A19" s="185"/>
      <c r="B19" s="186" t="s">
        <v>2</v>
      </c>
      <c r="C19" s="186" t="s">
        <v>3</v>
      </c>
      <c r="D19" s="187" t="s">
        <v>37</v>
      </c>
      <c r="E19" s="187" t="s">
        <v>46</v>
      </c>
      <c r="F19" s="187" t="s">
        <v>4</v>
      </c>
      <c r="G19" s="187" t="s">
        <v>38</v>
      </c>
      <c r="H19" s="187" t="s">
        <v>39</v>
      </c>
      <c r="I19" s="187" t="s">
        <v>40</v>
      </c>
      <c r="J19" s="187" t="s">
        <v>48</v>
      </c>
      <c r="K19" s="187" t="s">
        <v>49</v>
      </c>
      <c r="L19" s="187" t="s">
        <v>11</v>
      </c>
      <c r="M19" s="187" t="s">
        <v>13</v>
      </c>
      <c r="N19" s="187" t="s">
        <v>14</v>
      </c>
      <c r="O19" s="187" t="s">
        <v>15</v>
      </c>
      <c r="P19" s="187" t="s">
        <v>16</v>
      </c>
      <c r="Q19" s="187" t="s">
        <v>56</v>
      </c>
      <c r="R19" s="188" t="s">
        <v>47</v>
      </c>
      <c r="S19" s="189"/>
    </row>
    <row r="20" spans="1:19" ht="23.25" customHeight="1" thickBot="1" x14ac:dyDescent="0.4">
      <c r="A20" s="143"/>
      <c r="B20" s="144"/>
      <c r="C20" s="145"/>
      <c r="D20" s="146"/>
      <c r="E20" s="146"/>
      <c r="F20" s="147"/>
      <c r="G20" s="148"/>
      <c r="H20" s="321" t="s">
        <v>486</v>
      </c>
      <c r="I20" s="322"/>
      <c r="J20" s="149"/>
      <c r="K20" s="146"/>
      <c r="L20" s="146"/>
      <c r="M20" s="146"/>
      <c r="N20" s="146"/>
      <c r="O20" s="146"/>
      <c r="P20" s="146"/>
      <c r="Q20" s="146"/>
      <c r="R20" s="150"/>
      <c r="S20" s="197" t="s">
        <v>52</v>
      </c>
    </row>
    <row r="21" spans="1:19" ht="21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24">
        <v>19</v>
      </c>
      <c r="B22" s="275" t="s">
        <v>141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5"/>
      <c r="R22" s="275"/>
      <c r="S22" s="168"/>
    </row>
    <row r="23" spans="1:19" x14ac:dyDescent="0.25">
      <c r="A23" s="135">
        <v>20</v>
      </c>
      <c r="B23" s="275" t="s">
        <v>142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80"/>
      <c r="Q23" s="275"/>
      <c r="R23" s="275"/>
      <c r="S23" s="168"/>
    </row>
    <row r="24" spans="1:19" x14ac:dyDescent="0.25">
      <c r="A24" s="124">
        <v>21</v>
      </c>
      <c r="B24" s="275" t="s">
        <v>143</v>
      </c>
      <c r="C24" s="279" t="e">
        <f t="shared" si="1"/>
        <v>#VALUE!</v>
      </c>
      <c r="D24" s="275"/>
      <c r="E24" s="275"/>
      <c r="F24" s="275"/>
      <c r="G24" s="275"/>
      <c r="H24" s="275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5"/>
      <c r="R24" s="275"/>
      <c r="S24" s="168"/>
    </row>
    <row r="25" spans="1:19" x14ac:dyDescent="0.25">
      <c r="A25" s="124">
        <v>22</v>
      </c>
      <c r="B25" s="275" t="s">
        <v>144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7"/>
      <c r="Q25" s="275"/>
      <c r="R25" s="275"/>
      <c r="S25" s="168"/>
    </row>
    <row r="26" spans="1:19" x14ac:dyDescent="0.25">
      <c r="A26" s="135">
        <v>23</v>
      </c>
      <c r="B26" s="275" t="s">
        <v>145</v>
      </c>
      <c r="C26" s="279" t="e">
        <f t="shared" si="1"/>
        <v>#VALUE!</v>
      </c>
      <c r="D26" s="275"/>
      <c r="E26" s="275"/>
      <c r="F26" s="275"/>
      <c r="G26" s="275"/>
      <c r="H26" s="275"/>
      <c r="I26" s="275" t="str">
        <f>IF(H26="","",(VLOOKUP(H26,'Reference List'!$B$3:$D$173,2,FALSE)))</f>
        <v/>
      </c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5"/>
      <c r="Q26" s="275"/>
      <c r="R26" s="275"/>
      <c r="S26" s="168"/>
    </row>
    <row r="27" spans="1:19" x14ac:dyDescent="0.25">
      <c r="A27" s="124">
        <v>24</v>
      </c>
      <c r="B27" s="275" t="s">
        <v>146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5"/>
      <c r="Q27" s="275"/>
      <c r="R27" s="275"/>
      <c r="S27" s="168"/>
    </row>
    <row r="28" spans="1:19" x14ac:dyDescent="0.25">
      <c r="A28" s="124">
        <v>25</v>
      </c>
      <c r="B28" s="275" t="s">
        <v>147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5"/>
      <c r="Q28" s="275"/>
      <c r="R28" s="275"/>
      <c r="S28" s="168"/>
    </row>
    <row r="29" spans="1:19" x14ac:dyDescent="0.25">
      <c r="A29" s="135">
        <v>26</v>
      </c>
      <c r="B29" s="275" t="s">
        <v>148</v>
      </c>
      <c r="C29" s="279" t="e">
        <f t="shared" si="1"/>
        <v>#VALUE!</v>
      </c>
      <c r="D29" s="275"/>
      <c r="E29" s="275"/>
      <c r="F29" s="275"/>
      <c r="G29" s="275"/>
      <c r="H29" s="275"/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5"/>
      <c r="Q29" s="275"/>
      <c r="R29" s="275"/>
      <c r="S29" s="168"/>
    </row>
    <row r="30" spans="1:19" x14ac:dyDescent="0.25">
      <c r="A30" s="124">
        <v>27</v>
      </c>
      <c r="B30" s="275" t="s">
        <v>149</v>
      </c>
      <c r="C30" s="279" t="e">
        <f t="shared" si="1"/>
        <v>#VALUE!</v>
      </c>
      <c r="D30" s="275"/>
      <c r="E30" s="275"/>
      <c r="F30" s="275"/>
      <c r="G30" s="275"/>
      <c r="H30" s="275"/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5"/>
      <c r="Q30" s="275"/>
      <c r="R30" s="275"/>
      <c r="S30" s="168"/>
    </row>
    <row r="31" spans="1:19" x14ac:dyDescent="0.25">
      <c r="A31" s="124">
        <v>28</v>
      </c>
      <c r="B31" s="275" t="s">
        <v>150</v>
      </c>
      <c r="C31" s="279" t="e">
        <f t="shared" si="1"/>
        <v>#VALUE!</v>
      </c>
      <c r="D31" s="275"/>
      <c r="E31" s="275"/>
      <c r="F31" s="275"/>
      <c r="G31" s="275"/>
      <c r="H31" s="275"/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5"/>
      <c r="Q31" s="275"/>
      <c r="R31" s="275"/>
      <c r="S31" s="168"/>
    </row>
    <row r="32" spans="1:19" x14ac:dyDescent="0.25">
      <c r="A32" s="135">
        <v>29</v>
      </c>
      <c r="B32" s="275" t="s">
        <v>151</v>
      </c>
      <c r="C32" s="279" t="e">
        <f t="shared" si="1"/>
        <v>#VALUE!</v>
      </c>
      <c r="D32" s="275"/>
      <c r="E32" s="275"/>
      <c r="F32" s="275"/>
      <c r="G32" s="275"/>
      <c r="H32" s="275" t="str">
        <f>IF(G32="","",(VLOOKUP(G32,'Reference List'!$B$3:$D$173,2,FALSE)))</f>
        <v/>
      </c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5"/>
      <c r="Q32" s="275"/>
      <c r="R32" s="275"/>
      <c r="S32" s="168"/>
    </row>
    <row r="33" spans="1:19" x14ac:dyDescent="0.25">
      <c r="A33" s="124">
        <v>30</v>
      </c>
      <c r="B33" s="275" t="s">
        <v>152</v>
      </c>
      <c r="C33" s="279" t="e">
        <f t="shared" si="1"/>
        <v>#VALUE!</v>
      </c>
      <c r="D33" s="275"/>
      <c r="E33" s="275"/>
      <c r="F33" s="275"/>
      <c r="G33" s="275"/>
      <c r="H33" s="275" t="str">
        <f>IF(G33="","",(VLOOKUP(G33,'Reference List'!$B$3:$D$173,2,FALSE)))</f>
        <v/>
      </c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75"/>
      <c r="Q33" s="275"/>
      <c r="R33" s="275"/>
      <c r="S33" s="168"/>
    </row>
    <row r="34" spans="1:19" x14ac:dyDescent="0.25">
      <c r="A34" s="124">
        <v>31</v>
      </c>
      <c r="B34" s="275" t="s">
        <v>153</v>
      </c>
      <c r="C34" s="279" t="e">
        <f t="shared" si="1"/>
        <v>#VALUE!</v>
      </c>
      <c r="D34" s="275"/>
      <c r="E34" s="275"/>
      <c r="F34" s="275"/>
      <c r="G34" s="275"/>
      <c r="H34" s="275" t="str">
        <f>IF(G34="","",(VLOOKUP(G34,'Reference List'!$B$3:$D$173,2,FALSE)))</f>
        <v/>
      </c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5"/>
      <c r="Q34" s="275"/>
      <c r="R34" s="275"/>
      <c r="S34" s="168"/>
    </row>
    <row r="35" spans="1:19" x14ac:dyDescent="0.25">
      <c r="A35" s="135">
        <v>32</v>
      </c>
      <c r="B35" s="275" t="s">
        <v>154</v>
      </c>
      <c r="C35" s="279" t="e">
        <f t="shared" si="1"/>
        <v>#VALUE!</v>
      </c>
      <c r="D35" s="275"/>
      <c r="E35" s="275"/>
      <c r="F35" s="275"/>
      <c r="G35" s="275"/>
      <c r="H35" s="275" t="str">
        <f>IF(G35="","",(VLOOKUP(G35,'Reference List'!$B$3:$D$173,2,FALSE)))</f>
        <v/>
      </c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5"/>
      <c r="Q35" s="275"/>
      <c r="R35" s="275"/>
      <c r="S35" s="168"/>
    </row>
    <row r="36" spans="1:19" x14ac:dyDescent="0.25">
      <c r="A36" s="124">
        <v>33</v>
      </c>
      <c r="B36" s="275" t="s">
        <v>155</v>
      </c>
      <c r="C36" s="279" t="e">
        <f t="shared" si="1"/>
        <v>#VALUE!</v>
      </c>
      <c r="D36" s="275"/>
      <c r="E36" s="275"/>
      <c r="F36" s="275"/>
      <c r="G36" s="275"/>
      <c r="H36" s="275" t="str">
        <f>IF(G36="","",(VLOOKUP(G36,'Reference List'!$B$3:$D$173,2,FALSE)))</f>
        <v/>
      </c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75"/>
      <c r="Q36" s="275"/>
      <c r="R36" s="275"/>
      <c r="S36" s="168"/>
    </row>
    <row r="37" spans="1:19" x14ac:dyDescent="0.25">
      <c r="A37" s="124">
        <v>34</v>
      </c>
      <c r="B37" s="275" t="s">
        <v>156</v>
      </c>
      <c r="C37" s="279" t="e">
        <f t="shared" si="1"/>
        <v>#VALUE!</v>
      </c>
      <c r="D37" s="275"/>
      <c r="E37" s="275"/>
      <c r="F37" s="275"/>
      <c r="G37" s="275"/>
      <c r="H37" s="275" t="str">
        <f>IF(G37="","",(VLOOKUP(G37,'Reference List'!$B$3:$D$173,2,FALSE)))</f>
        <v/>
      </c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5"/>
      <c r="Q37" s="275"/>
      <c r="R37" s="275"/>
      <c r="S37" s="168"/>
    </row>
    <row r="38" spans="1:19" x14ac:dyDescent="0.25">
      <c r="A38" s="135">
        <v>35</v>
      </c>
      <c r="B38" s="275" t="s">
        <v>157</v>
      </c>
      <c r="C38" s="279" t="e">
        <f t="shared" si="1"/>
        <v>#VALUE!</v>
      </c>
      <c r="D38" s="275"/>
      <c r="E38" s="275"/>
      <c r="F38" s="275"/>
      <c r="G38" s="275"/>
      <c r="H38" s="275" t="str">
        <f>IF(G38="","",(VLOOKUP(G38,'Reference List'!$B$3:$D$173,2,FALSE)))</f>
        <v/>
      </c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5"/>
      <c r="Q38" s="275"/>
      <c r="R38" s="275"/>
      <c r="S38" s="168"/>
    </row>
    <row r="39" spans="1:19" x14ac:dyDescent="0.25">
      <c r="A39" s="124">
        <v>36</v>
      </c>
      <c r="B39" s="275" t="s">
        <v>158</v>
      </c>
      <c r="C39" s="279" t="e">
        <f t="shared" si="1"/>
        <v>#VALUE!</v>
      </c>
      <c r="D39" s="275"/>
      <c r="E39" s="275"/>
      <c r="F39" s="275"/>
      <c r="G39" s="275"/>
      <c r="H39" s="275" t="str">
        <f>IF(G39="","",(VLOOKUP(G39,'Reference List'!$B$3:$D$173,2,FALSE)))</f>
        <v/>
      </c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5"/>
      <c r="Q39" s="275"/>
      <c r="R39" s="275"/>
      <c r="S39" s="168"/>
    </row>
    <row r="40" spans="1:19" x14ac:dyDescent="0.25">
      <c r="A40" s="124">
        <v>37</v>
      </c>
      <c r="B40" s="275" t="s">
        <v>159</v>
      </c>
      <c r="C40" s="279" t="e">
        <f t="shared" si="1"/>
        <v>#VALUE!</v>
      </c>
      <c r="D40" s="275"/>
      <c r="E40" s="275"/>
      <c r="F40" s="275"/>
      <c r="G40" s="275"/>
      <c r="H40" s="275" t="str">
        <f>IF(G40="","",(VLOOKUP(G40,'Reference List'!$B$3:$D$173,2,FALSE)))</f>
        <v/>
      </c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5"/>
      <c r="Q40" s="275"/>
      <c r="R40" s="275"/>
      <c r="S40" s="168"/>
    </row>
    <row r="41" spans="1:19" x14ac:dyDescent="0.25">
      <c r="A41" s="135">
        <v>38</v>
      </c>
      <c r="B41" s="275" t="s">
        <v>160</v>
      </c>
      <c r="C41" s="279" t="e">
        <f t="shared" si="1"/>
        <v>#VALUE!</v>
      </c>
      <c r="D41" s="275"/>
      <c r="E41" s="275"/>
      <c r="F41" s="275"/>
      <c r="G41" s="275"/>
      <c r="H41" s="275" t="str">
        <f>IF(G41="","",(VLOOKUP(G41,'Reference List'!$B$3:$D$173,2,FALSE)))</f>
        <v/>
      </c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5"/>
      <c r="Q41" s="275"/>
      <c r="R41" s="275"/>
      <c r="S41" s="168"/>
    </row>
    <row r="42" spans="1:19" x14ac:dyDescent="0.25">
      <c r="A42" s="124">
        <v>39</v>
      </c>
      <c r="B42" s="275" t="s">
        <v>161</v>
      </c>
      <c r="C42" s="279" t="e">
        <f t="shared" si="1"/>
        <v>#VALUE!</v>
      </c>
      <c r="D42" s="275"/>
      <c r="E42" s="275"/>
      <c r="F42" s="275"/>
      <c r="G42" s="275"/>
      <c r="H42" s="275" t="str">
        <f>IF(G42="","",(VLOOKUP(G42,'Reference List'!$B$3:$D$168,2,FALSE)))</f>
        <v/>
      </c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5"/>
      <c r="Q42" s="275"/>
      <c r="R42" s="275"/>
      <c r="S42" s="168"/>
    </row>
    <row r="43" spans="1:19" x14ac:dyDescent="0.25">
      <c r="A43" s="124">
        <v>40</v>
      </c>
      <c r="B43" s="275" t="s">
        <v>162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5"/>
      <c r="Q43" s="275"/>
      <c r="R43" s="275"/>
      <c r="S43" s="168"/>
    </row>
    <row r="44" spans="1:19" x14ac:dyDescent="0.25">
      <c r="A44" s="135">
        <v>41</v>
      </c>
      <c r="B44" s="275" t="s">
        <v>163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5"/>
      <c r="Q44" s="275"/>
      <c r="R44" s="275"/>
      <c r="S44" s="168"/>
    </row>
    <row r="45" spans="1:19" x14ac:dyDescent="0.25">
      <c r="A45" s="124">
        <v>42</v>
      </c>
      <c r="B45" s="275" t="s">
        <v>164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5"/>
      <c r="Q45" s="275"/>
      <c r="R45" s="275"/>
      <c r="S45" s="168"/>
    </row>
    <row r="46" spans="1:19" x14ac:dyDescent="0.25">
      <c r="A46" s="124">
        <v>43</v>
      </c>
      <c r="B46" s="275" t="s">
        <v>165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5"/>
      <c r="Q46" s="275"/>
      <c r="R46" s="275"/>
      <c r="S46" s="168"/>
    </row>
    <row r="47" spans="1:19" x14ac:dyDescent="0.25">
      <c r="A47" s="135">
        <v>44</v>
      </c>
      <c r="B47" s="275" t="s">
        <v>166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8"/>
    </row>
    <row r="48" spans="1:19" x14ac:dyDescent="0.25">
      <c r="A48" s="124">
        <v>45</v>
      </c>
      <c r="B48" s="275" t="s">
        <v>167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8"/>
    </row>
    <row r="49" spans="1:19" x14ac:dyDescent="0.25">
      <c r="A49" s="124">
        <v>46</v>
      </c>
      <c r="B49" s="275" t="s">
        <v>168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8"/>
    </row>
    <row r="50" spans="1:19" x14ac:dyDescent="0.25">
      <c r="A50" s="135">
        <v>47</v>
      </c>
      <c r="B50" s="275" t="s">
        <v>169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8"/>
    </row>
    <row r="51" spans="1:19" x14ac:dyDescent="0.25">
      <c r="A51" s="124">
        <v>48</v>
      </c>
      <c r="B51" s="275" t="s">
        <v>170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8"/>
    </row>
    <row r="52" spans="1:19" x14ac:dyDescent="0.25">
      <c r="A52" s="124">
        <v>49</v>
      </c>
      <c r="B52" s="275" t="s">
        <v>171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8"/>
    </row>
    <row r="53" spans="1:19" x14ac:dyDescent="0.25">
      <c r="A53" s="135">
        <v>50</v>
      </c>
      <c r="B53" s="275" t="s">
        <v>172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8"/>
    </row>
    <row r="54" spans="1:19" x14ac:dyDescent="0.25">
      <c r="A54" s="124">
        <v>51</v>
      </c>
      <c r="B54" s="275" t="s">
        <v>173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8"/>
    </row>
    <row r="55" spans="1:19" x14ac:dyDescent="0.25">
      <c r="A55" s="124">
        <v>52</v>
      </c>
      <c r="B55" s="275" t="s">
        <v>174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8"/>
    </row>
    <row r="56" spans="1:19" x14ac:dyDescent="0.25">
      <c r="A56" s="135">
        <v>53</v>
      </c>
      <c r="B56" s="275" t="s">
        <v>175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8"/>
    </row>
    <row r="57" spans="1:19" x14ac:dyDescent="0.25">
      <c r="A57" s="124">
        <v>54</v>
      </c>
      <c r="B57" s="275" t="s">
        <v>176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24"/>
    </row>
    <row r="58" spans="1:19" x14ac:dyDescent="0.25">
      <c r="A58" s="124">
        <v>55</v>
      </c>
      <c r="B58" s="275" t="s">
        <v>177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24"/>
    </row>
    <row r="59" spans="1:19" x14ac:dyDescent="0.25">
      <c r="A59" s="135">
        <v>56</v>
      </c>
      <c r="B59" s="275" t="s">
        <v>178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24"/>
    </row>
    <row r="60" spans="1:19" x14ac:dyDescent="0.25">
      <c r="A60" s="124">
        <v>57</v>
      </c>
      <c r="B60" s="275" t="s">
        <v>179</v>
      </c>
      <c r="C60" s="279" t="e">
        <f t="shared" si="1"/>
        <v>#VALUE!</v>
      </c>
      <c r="D60" s="275"/>
      <c r="E60" s="275"/>
      <c r="F60" s="275"/>
      <c r="G60" s="275"/>
      <c r="H60" s="275"/>
      <c r="I60" s="275"/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24"/>
    </row>
    <row r="61" spans="1:19" x14ac:dyDescent="0.25">
      <c r="A61" s="124">
        <v>58</v>
      </c>
      <c r="B61" s="275" t="s">
        <v>180</v>
      </c>
      <c r="C61" s="279" t="e">
        <f t="shared" si="1"/>
        <v>#VALUE!</v>
      </c>
      <c r="D61" s="275"/>
      <c r="E61" s="275"/>
      <c r="F61" s="275"/>
      <c r="G61" s="275"/>
      <c r="H61" s="275"/>
      <c r="I61" s="275"/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24"/>
    </row>
    <row r="62" spans="1:19" x14ac:dyDescent="0.25">
      <c r="A62" s="135">
        <v>59</v>
      </c>
      <c r="B62" s="275" t="s">
        <v>181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24"/>
    </row>
    <row r="63" spans="1:19" x14ac:dyDescent="0.25">
      <c r="A63" s="124">
        <v>60</v>
      </c>
      <c r="B63" s="275" t="s">
        <v>182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 t="str">
        <f>IF(H63="","",(VLOOKUP(H63,'Reference List'!$B$3:$F$202,5,FALSE)))</f>
        <v/>
      </c>
      <c r="K63" s="275"/>
      <c r="L63" s="275"/>
      <c r="M63" s="275"/>
      <c r="N63" s="275"/>
      <c r="O63" s="275"/>
      <c r="P63" s="275"/>
      <c r="Q63" s="275"/>
      <c r="R63" s="275"/>
      <c r="S63" s="124"/>
    </row>
    <row r="64" spans="1:19" x14ac:dyDescent="0.25">
      <c r="A64" s="124">
        <v>61</v>
      </c>
      <c r="B64" s="275" t="s">
        <v>183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 t="str">
        <f>IF(H64="","",(VLOOKUP(H64,'Reference List'!$B$3:$F$202,5,FALSE)))</f>
        <v/>
      </c>
      <c r="K64" s="275"/>
      <c r="L64" s="275"/>
      <c r="M64" s="275"/>
      <c r="N64" s="275"/>
      <c r="O64" s="275"/>
      <c r="P64" s="275"/>
      <c r="Q64" s="275"/>
      <c r="R64" s="275"/>
      <c r="S64" s="124"/>
    </row>
    <row r="65" spans="1:19" x14ac:dyDescent="0.25">
      <c r="A65" s="135">
        <v>62</v>
      </c>
      <c r="B65" s="275" t="s">
        <v>184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 t="str">
        <f>IF(H65="","",(VLOOKUP(H65,'Reference List'!$B$3:$F$202,5,FALSE)))</f>
        <v/>
      </c>
      <c r="K65" s="275"/>
      <c r="L65" s="275"/>
      <c r="M65" s="275"/>
      <c r="N65" s="275"/>
      <c r="O65" s="275"/>
      <c r="P65" s="275"/>
      <c r="Q65" s="275"/>
      <c r="R65" s="275"/>
      <c r="S65" s="124"/>
    </row>
    <row r="66" spans="1:19" x14ac:dyDescent="0.25">
      <c r="A66" s="124">
        <v>63</v>
      </c>
      <c r="B66" s="275" t="s">
        <v>185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 t="str">
        <f>IF(H66="","",(VLOOKUP(H66,'Reference List'!$B$3:$F$202,5,FALSE)))</f>
        <v/>
      </c>
      <c r="K66" s="275"/>
      <c r="L66" s="275"/>
      <c r="M66" s="275"/>
      <c r="N66" s="275"/>
      <c r="O66" s="275"/>
      <c r="P66" s="275"/>
      <c r="Q66" s="275"/>
      <c r="R66" s="275"/>
      <c r="S66" s="124"/>
    </row>
    <row r="67" spans="1:19" x14ac:dyDescent="0.25">
      <c r="A67" s="124">
        <v>64</v>
      </c>
      <c r="B67" s="275" t="s">
        <v>186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 t="str">
        <f>IF(H67="","",(VLOOKUP(H67,'Reference List'!$B$3:$F$202,5,FALSE)))</f>
        <v/>
      </c>
      <c r="K67" s="275"/>
      <c r="L67" s="275"/>
      <c r="M67" s="275"/>
      <c r="N67" s="275"/>
      <c r="O67" s="275"/>
      <c r="P67" s="275"/>
      <c r="Q67" s="275"/>
      <c r="R67" s="275"/>
      <c r="S67" s="124"/>
    </row>
    <row r="68" spans="1:19" x14ac:dyDescent="0.25">
      <c r="A68" s="135">
        <v>65</v>
      </c>
      <c r="B68" s="275" t="s">
        <v>187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 t="str">
        <f>IF(H68="","",(VLOOKUP(H68,'Reference List'!$B$3:$F$202,5,FALSE)))</f>
        <v/>
      </c>
      <c r="K68" s="275"/>
      <c r="L68" s="275"/>
      <c r="M68" s="275"/>
      <c r="N68" s="275"/>
      <c r="O68" s="275"/>
      <c r="P68" s="275"/>
      <c r="Q68" s="275"/>
      <c r="R68" s="275"/>
      <c r="S68" s="124"/>
    </row>
    <row r="69" spans="1:19" x14ac:dyDescent="0.25">
      <c r="A69" s="124">
        <v>66</v>
      </c>
      <c r="B69" s="275" t="s">
        <v>188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 t="str">
        <f>IF(H69="","",(VLOOKUP(H69,'Reference List'!$B$3:$F$202,5,FALSE)))</f>
        <v/>
      </c>
      <c r="K69" s="275"/>
      <c r="L69" s="275"/>
      <c r="M69" s="275"/>
      <c r="N69" s="275"/>
      <c r="O69" s="275"/>
      <c r="P69" s="275"/>
      <c r="Q69" s="275"/>
      <c r="R69" s="275"/>
      <c r="S69" s="130"/>
    </row>
    <row r="70" spans="1:19" x14ac:dyDescent="0.25">
      <c r="A70" s="124">
        <v>67</v>
      </c>
      <c r="B70" s="275" t="s">
        <v>189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 t="str">
        <f>IF(H70="","",(VLOOKUP(H70,'Reference List'!$B$3:$F$202,5,FALSE)))</f>
        <v/>
      </c>
      <c r="K70" s="275"/>
      <c r="L70" s="275"/>
      <c r="M70" s="275"/>
      <c r="N70" s="275"/>
      <c r="O70" s="275"/>
      <c r="P70" s="275"/>
      <c r="Q70" s="275"/>
      <c r="R70" s="275"/>
      <c r="S70" s="130"/>
    </row>
    <row r="71" spans="1:19" x14ac:dyDescent="0.25">
      <c r="A71" s="135">
        <v>68</v>
      </c>
      <c r="B71" s="275" t="s">
        <v>190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 t="str">
        <f>IF(H71="","",(VLOOKUP(H71,'Reference List'!$B$3:$F$202,5,FALSE)))</f>
        <v/>
      </c>
      <c r="K71" s="275"/>
      <c r="L71" s="275"/>
      <c r="M71" s="275"/>
      <c r="N71" s="275"/>
      <c r="O71" s="275"/>
      <c r="P71" s="275"/>
      <c r="Q71" s="275"/>
      <c r="R71" s="275"/>
      <c r="S71" s="130"/>
    </row>
    <row r="72" spans="1:19" x14ac:dyDescent="0.25">
      <c r="A72" s="124">
        <v>69</v>
      </c>
      <c r="B72" s="275" t="s">
        <v>191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 t="str">
        <f>IF(H72="","",(VLOOKUP(H72,'Reference List'!$B$3:$F$202,5,FALSE)))</f>
        <v/>
      </c>
      <c r="K72" s="275"/>
      <c r="L72" s="275"/>
      <c r="M72" s="275"/>
      <c r="N72" s="275"/>
      <c r="O72" s="275"/>
      <c r="P72" s="275"/>
      <c r="Q72" s="275"/>
      <c r="R72" s="275"/>
      <c r="S72" s="130"/>
    </row>
    <row r="73" spans="1:19" x14ac:dyDescent="0.25">
      <c r="A73" s="124">
        <v>70</v>
      </c>
      <c r="B73" s="275" t="s">
        <v>192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 t="str">
        <f>IF(H73="","",(VLOOKUP(H73,'Reference List'!$B$3:$F$202,5,FALSE)))</f>
        <v/>
      </c>
      <c r="K73" s="275"/>
      <c r="L73" s="275"/>
      <c r="M73" s="275"/>
      <c r="N73" s="275"/>
      <c r="O73" s="275"/>
      <c r="P73" s="275"/>
      <c r="Q73" s="275"/>
      <c r="R73" s="275"/>
      <c r="S73" s="130"/>
    </row>
    <row r="74" spans="1:19" x14ac:dyDescent="0.25">
      <c r="A74" s="135">
        <v>71</v>
      </c>
      <c r="B74" s="275" t="s">
        <v>193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 t="str">
        <f>IF(H74="","",(VLOOKUP(H74,'Reference List'!$B$3:$F$202,5,FALSE)))</f>
        <v/>
      </c>
      <c r="K74" s="275"/>
      <c r="L74" s="275"/>
      <c r="M74" s="275"/>
      <c r="N74" s="275"/>
      <c r="O74" s="275"/>
      <c r="P74" s="275"/>
      <c r="Q74" s="275"/>
      <c r="R74" s="275"/>
      <c r="S74" s="130"/>
    </row>
    <row r="75" spans="1:19" x14ac:dyDescent="0.25">
      <c r="A75" s="124">
        <v>72</v>
      </c>
      <c r="B75" s="275" t="s">
        <v>194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 t="str">
        <f>IF(H75="","",(VLOOKUP(H75,'Reference List'!$B$3:$F$202,5,FALSE)))</f>
        <v/>
      </c>
      <c r="K75" s="275"/>
      <c r="L75" s="275"/>
      <c r="M75" s="275"/>
      <c r="N75" s="275"/>
      <c r="O75" s="275"/>
      <c r="P75" s="275"/>
      <c r="Q75" s="275"/>
      <c r="R75" s="275"/>
      <c r="S75" s="130"/>
    </row>
    <row r="76" spans="1:19" x14ac:dyDescent="0.25">
      <c r="A76" s="124">
        <v>73</v>
      </c>
      <c r="B76" s="275" t="s">
        <v>195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 t="str">
        <f>IF(H76="","",(VLOOKUP(H76,'Reference List'!$B$3:$F$202,5,FALSE)))</f>
        <v/>
      </c>
      <c r="K76" s="275"/>
      <c r="L76" s="275"/>
      <c r="M76" s="275"/>
      <c r="N76" s="275"/>
      <c r="O76" s="275"/>
      <c r="P76" s="275"/>
      <c r="Q76" s="275"/>
      <c r="R76" s="275"/>
      <c r="S76" s="130"/>
    </row>
    <row r="77" spans="1:19" x14ac:dyDescent="0.25">
      <c r="A77" s="135">
        <v>74</v>
      </c>
      <c r="B77" s="275" t="s">
        <v>196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 t="str">
        <f>IF(H77="","",(VLOOKUP(H77,'Reference List'!$B$3:$F$202,5,FALSE)))</f>
        <v/>
      </c>
      <c r="K77" s="275"/>
      <c r="L77" s="275"/>
      <c r="M77" s="275"/>
      <c r="N77" s="275"/>
      <c r="O77" s="275"/>
      <c r="P77" s="275"/>
      <c r="Q77" s="275"/>
      <c r="R77" s="275"/>
      <c r="S77" s="130"/>
    </row>
    <row r="78" spans="1:19" x14ac:dyDescent="0.25">
      <c r="A78" s="124">
        <v>75</v>
      </c>
      <c r="B78" s="275" t="s">
        <v>197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 t="str">
        <f>IF(H78="","",(VLOOKUP(H78,'Reference List'!$B$3:$F$202,5,FALSE)))</f>
        <v/>
      </c>
      <c r="K78" s="275"/>
      <c r="L78" s="275"/>
      <c r="M78" s="275"/>
      <c r="N78" s="275"/>
      <c r="O78" s="275"/>
      <c r="P78" s="275"/>
      <c r="Q78" s="275"/>
      <c r="R78" s="275"/>
      <c r="S78" s="130"/>
    </row>
    <row r="79" spans="1:19" x14ac:dyDescent="0.25">
      <c r="A79" s="124">
        <v>76</v>
      </c>
      <c r="B79" s="275" t="s">
        <v>198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 t="str">
        <f>IF(H79="","",(VLOOKUP(H79,'Reference List'!$B$3:$F$202,5,FALSE)))</f>
        <v/>
      </c>
      <c r="K79" s="275"/>
      <c r="L79" s="275"/>
      <c r="M79" s="275"/>
      <c r="N79" s="275"/>
      <c r="O79" s="275"/>
      <c r="P79" s="275"/>
      <c r="Q79" s="275"/>
      <c r="R79" s="275"/>
      <c r="S79" s="130"/>
    </row>
    <row r="80" spans="1:19" x14ac:dyDescent="0.25">
      <c r="A80" s="135">
        <v>77</v>
      </c>
      <c r="B80" s="275" t="s">
        <v>199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 t="str">
        <f>IF(H80="","",(VLOOKUP(H80,'Reference List'!$B$3:$F$202,5,FALSE)))</f>
        <v/>
      </c>
      <c r="K80" s="275"/>
      <c r="L80" s="275"/>
      <c r="M80" s="275"/>
      <c r="N80" s="275"/>
      <c r="O80" s="275"/>
      <c r="P80" s="275"/>
      <c r="Q80" s="275"/>
      <c r="R80" s="275"/>
      <c r="S80" s="130"/>
    </row>
    <row r="81" spans="1:19" x14ac:dyDescent="0.25">
      <c r="A81" s="124">
        <v>78</v>
      </c>
      <c r="B81" s="275" t="s">
        <v>200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 t="str">
        <f>IF(H81="","",(VLOOKUP(H81,'Reference List'!$B$3:$F$202,5,FALSE)))</f>
        <v/>
      </c>
      <c r="K81" s="275"/>
      <c r="L81" s="275"/>
      <c r="M81" s="275"/>
      <c r="N81" s="275"/>
      <c r="O81" s="275"/>
      <c r="P81" s="275"/>
      <c r="Q81" s="275"/>
      <c r="R81" s="275"/>
      <c r="S81" s="130"/>
    </row>
    <row r="82" spans="1:19" x14ac:dyDescent="0.25">
      <c r="A82" s="124">
        <v>79</v>
      </c>
      <c r="B82" s="275" t="s">
        <v>201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 t="str">
        <f>IF(H82="","",(VLOOKUP(H82,'Reference List'!$B$3:$F$202,5,FALSE)))</f>
        <v/>
      </c>
      <c r="K82" s="275"/>
      <c r="L82" s="275"/>
      <c r="M82" s="275"/>
      <c r="N82" s="275"/>
      <c r="O82" s="275"/>
      <c r="P82" s="275"/>
      <c r="Q82" s="275"/>
      <c r="R82" s="275"/>
      <c r="S82" s="130"/>
    </row>
    <row r="83" spans="1:19" x14ac:dyDescent="0.25">
      <c r="A83" s="135">
        <v>80</v>
      </c>
      <c r="B83" s="275" t="s">
        <v>202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 t="str">
        <f>IF(H83="","",(VLOOKUP(H83,'Reference List'!$B$3:$F$202,5,FALSE)))</f>
        <v/>
      </c>
      <c r="K83" s="275"/>
      <c r="L83" s="275"/>
      <c r="M83" s="275"/>
      <c r="N83" s="275"/>
      <c r="O83" s="275"/>
      <c r="P83" s="275"/>
      <c r="Q83" s="275"/>
      <c r="R83" s="275"/>
      <c r="S83" s="130"/>
    </row>
    <row r="84" spans="1:19" x14ac:dyDescent="0.25">
      <c r="A84" s="124">
        <v>81</v>
      </c>
      <c r="B84" s="275" t="s">
        <v>794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 t="str">
        <f>IF(H84="","",(VLOOKUP(H84,'Reference List'!$B$3:$F$202,5,FALSE)))</f>
        <v/>
      </c>
      <c r="K84" s="275"/>
      <c r="L84" s="275"/>
      <c r="M84" s="275"/>
      <c r="N84" s="275"/>
      <c r="O84" s="275"/>
      <c r="P84" s="275"/>
      <c r="Q84" s="275"/>
      <c r="R84" s="275"/>
      <c r="S84" s="130"/>
    </row>
    <row r="85" spans="1:19" x14ac:dyDescent="0.25">
      <c r="A85" s="124">
        <v>82</v>
      </c>
      <c r="B85" s="275" t="s">
        <v>795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 t="str">
        <f>IF(H85="","",(VLOOKUP(H85,'Reference List'!$B$3:$F$202,5,FALSE)))</f>
        <v/>
      </c>
      <c r="K85" s="275"/>
      <c r="L85" s="275"/>
      <c r="M85" s="275"/>
      <c r="N85" s="275"/>
      <c r="O85" s="275"/>
      <c r="P85" s="275"/>
      <c r="Q85" s="275"/>
      <c r="R85" s="275"/>
      <c r="S85" s="130"/>
    </row>
    <row r="86" spans="1:19" x14ac:dyDescent="0.25">
      <c r="A86" s="135">
        <v>83</v>
      </c>
      <c r="B86" s="275" t="s">
        <v>796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 t="str">
        <f>IF(H86="","",(VLOOKUP(H86,'Reference List'!$B$3:$F$202,5,FALSE)))</f>
        <v/>
      </c>
      <c r="K86" s="275"/>
      <c r="L86" s="275"/>
      <c r="M86" s="275"/>
      <c r="N86" s="275"/>
      <c r="O86" s="275"/>
      <c r="P86" s="275"/>
      <c r="Q86" s="275"/>
      <c r="R86" s="275"/>
      <c r="S86" s="130"/>
    </row>
    <row r="87" spans="1:19" x14ac:dyDescent="0.25">
      <c r="A87" s="124">
        <v>84</v>
      </c>
      <c r="B87" s="275" t="s">
        <v>797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 t="str">
        <f>IF(H87="","",(VLOOKUP(H87,'Reference List'!$B$3:$F$202,5,FALSE)))</f>
        <v/>
      </c>
      <c r="K87" s="275"/>
      <c r="L87" s="275"/>
      <c r="M87" s="275"/>
      <c r="N87" s="275"/>
      <c r="O87" s="275"/>
      <c r="P87" s="275"/>
      <c r="Q87" s="275"/>
      <c r="R87" s="275"/>
      <c r="S87" s="130"/>
    </row>
    <row r="88" spans="1:19" x14ac:dyDescent="0.25">
      <c r="A88" s="124">
        <v>85</v>
      </c>
      <c r="B88" s="275" t="s">
        <v>798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 t="str">
        <f>IF(H88="","",(VLOOKUP(H88,'Reference List'!$B$3:$F$202,5,FALSE)))</f>
        <v/>
      </c>
      <c r="K88" s="275"/>
      <c r="L88" s="275"/>
      <c r="M88" s="275"/>
      <c r="N88" s="275"/>
      <c r="O88" s="275"/>
      <c r="P88" s="275"/>
      <c r="Q88" s="275"/>
      <c r="R88" s="275"/>
      <c r="S88" s="130"/>
    </row>
    <row r="89" spans="1:19" x14ac:dyDescent="0.25">
      <c r="A89" s="135">
        <v>86</v>
      </c>
      <c r="B89" s="275" t="s">
        <v>799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 t="str">
        <f>IF(H89="","",(VLOOKUP(H89,'Reference List'!$B$3:$F$202,5,FALSE)))</f>
        <v/>
      </c>
      <c r="K89" s="275"/>
      <c r="L89" s="275"/>
      <c r="M89" s="275"/>
      <c r="N89" s="275"/>
      <c r="O89" s="275"/>
      <c r="P89" s="275"/>
      <c r="Q89" s="275"/>
      <c r="R89" s="275"/>
      <c r="S89" s="130"/>
    </row>
    <row r="90" spans="1:19" x14ac:dyDescent="0.25">
      <c r="A90" s="124">
        <v>87</v>
      </c>
      <c r="B90" s="275" t="s">
        <v>800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 t="str">
        <f>IF(H90="","",(VLOOKUP(H90,'Reference List'!$B$3:$F$202,5,FALSE)))</f>
        <v/>
      </c>
      <c r="K90" s="275"/>
      <c r="L90" s="275"/>
      <c r="M90" s="275"/>
      <c r="N90" s="275"/>
      <c r="O90" s="275"/>
      <c r="P90" s="275"/>
      <c r="Q90" s="275"/>
      <c r="R90" s="275"/>
      <c r="S90" s="130"/>
    </row>
    <row r="91" spans="1:19" x14ac:dyDescent="0.25">
      <c r="A91" s="124">
        <v>88</v>
      </c>
      <c r="B91" s="275" t="s">
        <v>801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 t="str">
        <f>IF(H91="","",(VLOOKUP(H91,'Reference List'!$B$3:$F$202,5,FALSE)))</f>
        <v/>
      </c>
      <c r="K91" s="275"/>
      <c r="L91" s="275"/>
      <c r="M91" s="275"/>
      <c r="N91" s="275"/>
      <c r="O91" s="275"/>
      <c r="P91" s="275"/>
      <c r="Q91" s="275"/>
      <c r="R91" s="275"/>
      <c r="S91" s="130"/>
    </row>
    <row r="92" spans="1:19" x14ac:dyDescent="0.25">
      <c r="A92" s="135">
        <v>89</v>
      </c>
      <c r="B92" s="275" t="s">
        <v>802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 t="str">
        <f>IF(H92="","",(VLOOKUP(H92,'Reference List'!$B$3:$F$202,5,FALSE)))</f>
        <v/>
      </c>
      <c r="K92" s="275"/>
      <c r="L92" s="275"/>
      <c r="M92" s="275"/>
      <c r="N92" s="275"/>
      <c r="O92" s="275"/>
      <c r="P92" s="275"/>
      <c r="Q92" s="275"/>
      <c r="R92" s="275"/>
      <c r="S92" s="130"/>
    </row>
    <row r="93" spans="1:19" x14ac:dyDescent="0.25">
      <c r="A93" s="124">
        <v>90</v>
      </c>
      <c r="B93" s="275" t="s">
        <v>803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 t="str">
        <f>IF(H93="","",(VLOOKUP(H93,'Reference List'!$B$3:$F$202,5,FALSE)))</f>
        <v/>
      </c>
      <c r="K93" s="275"/>
      <c r="L93" s="275"/>
      <c r="M93" s="275"/>
      <c r="N93" s="275"/>
      <c r="O93" s="275"/>
      <c r="P93" s="275"/>
      <c r="Q93" s="275"/>
      <c r="R93" s="275"/>
      <c r="S93" s="130"/>
    </row>
    <row r="94" spans="1:19" x14ac:dyDescent="0.25">
      <c r="A94" s="124">
        <v>91</v>
      </c>
      <c r="B94" s="275" t="s">
        <v>804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 t="str">
        <f>IF(H94="","",(VLOOKUP(H94,'Reference List'!$B$3:$F$202,5,FALSE)))</f>
        <v/>
      </c>
      <c r="K94" s="275"/>
      <c r="L94" s="275"/>
      <c r="M94" s="275"/>
      <c r="N94" s="275"/>
      <c r="O94" s="275"/>
      <c r="P94" s="275"/>
      <c r="Q94" s="275"/>
      <c r="R94" s="275"/>
      <c r="S94" s="130"/>
    </row>
    <row r="95" spans="1:19" x14ac:dyDescent="0.25">
      <c r="A95" s="135">
        <v>92</v>
      </c>
      <c r="B95" s="275" t="s">
        <v>805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 t="str">
        <f>IF(H95="","",(VLOOKUP(H95,'Reference List'!$B$3:$F$202,5,FALSE)))</f>
        <v/>
      </c>
      <c r="K95" s="275"/>
      <c r="L95" s="275"/>
      <c r="M95" s="275"/>
      <c r="N95" s="275"/>
      <c r="O95" s="275"/>
      <c r="P95" s="275"/>
      <c r="Q95" s="275"/>
      <c r="R95" s="275"/>
      <c r="S95" s="130"/>
    </row>
    <row r="96" spans="1:19" x14ac:dyDescent="0.25">
      <c r="A96" s="124">
        <v>93</v>
      </c>
      <c r="B96" s="275" t="s">
        <v>806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 t="str">
        <f>IF(H96="","",(VLOOKUP(H96,'Reference List'!$B$3:$F$202,5,FALSE)))</f>
        <v/>
      </c>
      <c r="K96" s="275"/>
      <c r="L96" s="275"/>
      <c r="M96" s="275"/>
      <c r="N96" s="275"/>
      <c r="O96" s="275"/>
      <c r="P96" s="275"/>
      <c r="Q96" s="275"/>
      <c r="R96" s="275"/>
      <c r="S96" s="130"/>
    </row>
    <row r="97" spans="1:19" x14ac:dyDescent="0.25">
      <c r="A97" s="124">
        <v>94</v>
      </c>
      <c r="B97" s="275" t="s">
        <v>807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 t="str">
        <f>IF(H97="","",(VLOOKUP(H97,'Reference List'!$B$3:$F$202,5,FALSE)))</f>
        <v/>
      </c>
      <c r="K97" s="275"/>
      <c r="L97" s="275"/>
      <c r="M97" s="275"/>
      <c r="N97" s="275"/>
      <c r="O97" s="275"/>
      <c r="P97" s="275"/>
      <c r="Q97" s="275"/>
      <c r="R97" s="275"/>
      <c r="S97" s="130"/>
    </row>
    <row r="98" spans="1:19" x14ac:dyDescent="0.25">
      <c r="A98" s="135">
        <v>95</v>
      </c>
      <c r="B98" s="275" t="s">
        <v>808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 t="str">
        <f>IF(H98="","",(VLOOKUP(H98,'Reference List'!$B$3:$F$202,5,FALSE)))</f>
        <v/>
      </c>
      <c r="K98" s="275"/>
      <c r="L98" s="275"/>
      <c r="M98" s="275"/>
      <c r="N98" s="275"/>
      <c r="O98" s="275"/>
      <c r="P98" s="275"/>
      <c r="Q98" s="275"/>
      <c r="R98" s="275"/>
      <c r="S98" s="130"/>
    </row>
    <row r="99" spans="1:19" x14ac:dyDescent="0.25">
      <c r="A99" s="124">
        <v>96</v>
      </c>
      <c r="B99" s="275" t="s">
        <v>809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 t="str">
        <f>IF(H99="","",(VLOOKUP(H99,'Reference List'!$B$3:$F$202,5,FALSE)))</f>
        <v/>
      </c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97</v>
      </c>
      <c r="B100" s="275" t="s">
        <v>810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 t="str">
        <f>IF(H100="","",(VLOOKUP(H100,'Reference List'!$B$3:$F$202,5,FALSE)))</f>
        <v/>
      </c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98</v>
      </c>
      <c r="B101" s="275" t="s">
        <v>811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 t="str">
        <f>IF(H101="","",(VLOOKUP(H101,'Reference List'!$B$3:$F$202,5,FALSE)))</f>
        <v/>
      </c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99</v>
      </c>
      <c r="B102" s="275" t="s">
        <v>812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 t="str">
        <f>IF(H102="","",(VLOOKUP(H102,'Reference List'!$B$3:$F$202,5,FALSE)))</f>
        <v/>
      </c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24">
        <v>100</v>
      </c>
      <c r="B103" s="275" t="s">
        <v>813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 t="str">
        <f>IF(H103="","",(VLOOKUP(H103,'Reference List'!$B$3:$F$202,5,FALSE)))</f>
        <v/>
      </c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5">
    <mergeCell ref="H20:I20"/>
    <mergeCell ref="H4:I4"/>
    <mergeCell ref="L2:M2"/>
    <mergeCell ref="N2:P2"/>
    <mergeCell ref="Q2:S2"/>
  </mergeCells>
  <phoneticPr fontId="74" type="noConversion"/>
  <conditionalFormatting sqref="H41">
    <cfRule type="cellIs" dxfId="274" priority="16" operator="equal">
      <formula>#N/A</formula>
    </cfRule>
  </conditionalFormatting>
  <conditionalFormatting sqref="H3 H7 H25:H41 H9:H18">
    <cfRule type="cellIs" dxfId="273" priority="15" operator="equal">
      <formula>#N/A</formula>
    </cfRule>
  </conditionalFormatting>
  <conditionalFormatting sqref="H42">
    <cfRule type="cellIs" dxfId="272" priority="14" operator="equal">
      <formula>#N/A</formula>
    </cfRule>
  </conditionalFormatting>
  <conditionalFormatting sqref="G1:G2">
    <cfRule type="cellIs" dxfId="271" priority="13" operator="equal">
      <formula>#N/A</formula>
    </cfRule>
  </conditionalFormatting>
  <conditionalFormatting sqref="I6:I18 I22:I59">
    <cfRule type="cellIs" dxfId="270" priority="12" operator="equal">
      <formula>#N/A</formula>
    </cfRule>
  </conditionalFormatting>
  <conditionalFormatting sqref="H22 H24">
    <cfRule type="cellIs" dxfId="269" priority="11" operator="equal">
      <formula>#N/A</formula>
    </cfRule>
  </conditionalFormatting>
  <conditionalFormatting sqref="H19">
    <cfRule type="cellIs" dxfId="268" priority="10" operator="equal">
      <formula>#N/A</formula>
    </cfRule>
  </conditionalFormatting>
  <conditionalFormatting sqref="H5">
    <cfRule type="cellIs" dxfId="267" priority="9" operator="equal">
      <formula>#N/A</formula>
    </cfRule>
  </conditionalFormatting>
  <conditionalFormatting sqref="H21">
    <cfRule type="cellIs" dxfId="266" priority="8" operator="equal">
      <formula>#N/A</formula>
    </cfRule>
  </conditionalFormatting>
  <conditionalFormatting sqref="S6:S18">
    <cfRule type="cellIs" dxfId="265" priority="6" operator="equal">
      <formula>"DRY"</formula>
    </cfRule>
    <cfRule type="cellIs" dxfId="264" priority="7" operator="equal">
      <formula>"CH"</formula>
    </cfRule>
  </conditionalFormatting>
  <conditionalFormatting sqref="S22:S59">
    <cfRule type="cellIs" dxfId="263" priority="4" operator="equal">
      <formula>"DRY"</formula>
    </cfRule>
    <cfRule type="cellIs" dxfId="262" priority="5" operator="equal">
      <formula>"CHILLER"</formula>
    </cfRule>
  </conditionalFormatting>
  <conditionalFormatting sqref="H8">
    <cfRule type="cellIs" dxfId="261" priority="3" operator="equal">
      <formula>#N/A</formula>
    </cfRule>
  </conditionalFormatting>
  <conditionalFormatting sqref="H23">
    <cfRule type="cellIs" dxfId="260" priority="2" operator="equal">
      <formula>#N/A</formula>
    </cfRule>
  </conditionalFormatting>
  <conditionalFormatting sqref="H6">
    <cfRule type="cellIs" dxfId="259" priority="1" operator="equal">
      <formula>#N/A</formula>
    </cfRule>
  </conditionalFormatting>
  <dataValidations count="1">
    <dataValidation type="list" allowBlank="1" showInputMessage="1" showErrorMessage="1" sqref="S6:S18 S22:S52" xr:uid="{00000000-0002-0000-0200-000000000000}">
      <formula1>TEMP</formula1>
    </dataValidation>
  </dataValidations>
  <pageMargins left="0.7" right="0.7" top="0.75" bottom="0.75" header="0.3" footer="0.3"/>
  <pageSetup paperSize="9" scale="7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21</xdr:col>
                    <xdr:colOff>114300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S103"/>
  <sheetViews>
    <sheetView topLeftCell="B1" zoomScaleNormal="100" zoomScaleSheetLayoutView="100" workbookViewId="0">
      <pane ySplit="4" topLeftCell="A5" activePane="bottomLeft" state="frozen"/>
      <selection activeCell="F17" sqref="F17"/>
      <selection pane="bottomLeft" activeCell="F25" sqref="F25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.85546875" customWidth="1"/>
    <col min="7" max="7" width="16" customWidth="1"/>
    <col min="8" max="8" width="36.7109375" customWidth="1"/>
    <col min="9" max="9" width="40.5703125" customWidth="1"/>
    <col min="10" max="10" width="11.85546875" customWidth="1"/>
    <col min="11" max="11" width="11.140625" customWidth="1"/>
    <col min="12" max="13" width="6.5703125" customWidth="1"/>
    <col min="14" max="14" width="5.140625" hidden="1" customWidth="1"/>
    <col min="15" max="15" width="6.7109375" hidden="1" customWidth="1"/>
    <col min="16" max="16" width="12.85546875" customWidth="1"/>
    <col min="17" max="17" width="11" customWidth="1"/>
    <col min="18" max="18" width="14.85546875" customWidth="1"/>
    <col min="19" max="19" width="14.28515625" hidden="1" customWidth="1"/>
  </cols>
  <sheetData>
    <row r="1" spans="1:19" ht="36.75" customHeight="1" thickBot="1" x14ac:dyDescent="0.3">
      <c r="A1" s="1"/>
      <c r="B1" s="1"/>
      <c r="C1" s="1"/>
      <c r="D1" s="1"/>
      <c r="E1" s="1"/>
      <c r="F1" s="2"/>
      <c r="G1" s="1"/>
      <c r="H1" s="1"/>
      <c r="I1" s="3"/>
      <c r="J1" s="1"/>
      <c r="K1" s="1"/>
      <c r="L1" s="4"/>
      <c r="M1" s="4"/>
      <c r="N1" s="4"/>
      <c r="O1" s="4"/>
      <c r="P1" s="4"/>
      <c r="Q1" s="4"/>
      <c r="R1" s="1"/>
    </row>
    <row r="2" spans="1:19" ht="66.75" customHeight="1" thickBot="1" x14ac:dyDescent="0.55000000000000004">
      <c r="A2" s="106"/>
      <c r="B2" s="173"/>
      <c r="C2" s="106"/>
      <c r="D2" s="174"/>
      <c r="E2" s="174"/>
      <c r="F2" s="106" t="s">
        <v>32</v>
      </c>
      <c r="G2" s="106"/>
      <c r="H2" s="106"/>
      <c r="I2" s="175"/>
      <c r="J2" s="176"/>
      <c r="K2" s="106"/>
      <c r="L2" s="323" t="s">
        <v>53</v>
      </c>
      <c r="M2" s="324"/>
      <c r="N2" s="325" t="str">
        <f>Monday!N2</f>
        <v>xxxx</v>
      </c>
      <c r="O2" s="326"/>
      <c r="P2" s="327"/>
      <c r="Q2" s="318" t="e">
        <f>N2-4</f>
        <v>#VALUE!</v>
      </c>
      <c r="R2" s="319"/>
      <c r="S2" s="320"/>
    </row>
    <row r="3" spans="1:19" ht="24" customHeight="1" thickBot="1" x14ac:dyDescent="0.3">
      <c r="A3" s="185"/>
      <c r="B3" s="194" t="s">
        <v>2</v>
      </c>
      <c r="C3" s="194" t="s">
        <v>3</v>
      </c>
      <c r="D3" s="195" t="s">
        <v>37</v>
      </c>
      <c r="E3" s="196" t="s">
        <v>46</v>
      </c>
      <c r="F3" s="187" t="s">
        <v>4</v>
      </c>
      <c r="G3" s="187" t="s">
        <v>38</v>
      </c>
      <c r="H3" s="187" t="s">
        <v>39</v>
      </c>
      <c r="I3" s="188" t="s">
        <v>40</v>
      </c>
      <c r="J3" s="187" t="s">
        <v>48</v>
      </c>
      <c r="K3" s="187" t="s">
        <v>49</v>
      </c>
      <c r="L3" s="187" t="s">
        <v>11</v>
      </c>
      <c r="M3" s="187" t="s">
        <v>13</v>
      </c>
      <c r="N3" s="187" t="s">
        <v>14</v>
      </c>
      <c r="O3" s="187" t="s">
        <v>15</v>
      </c>
      <c r="P3" s="187" t="s">
        <v>16</v>
      </c>
      <c r="Q3" s="187" t="s">
        <v>56</v>
      </c>
      <c r="R3" s="187" t="s">
        <v>47</v>
      </c>
      <c r="S3" s="189"/>
    </row>
    <row r="4" spans="1:19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19" ht="22.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19" x14ac:dyDescent="0.25">
      <c r="A6" s="135">
        <v>1</v>
      </c>
      <c r="B6" s="275" t="s">
        <v>203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 t="str">
        <f>IF(H6="","",(VLOOKUP(H6,'Reference List'!$B$3:$F$202,5,FALSE)))</f>
        <v/>
      </c>
      <c r="K6" s="275"/>
      <c r="L6" s="275"/>
      <c r="M6" s="275"/>
      <c r="N6" s="275"/>
      <c r="O6" s="275"/>
      <c r="P6" s="277"/>
      <c r="Q6" s="277"/>
      <c r="R6" s="275"/>
      <c r="S6" s="169"/>
    </row>
    <row r="7" spans="1:19" x14ac:dyDescent="0.25">
      <c r="A7" s="135">
        <v>2</v>
      </c>
      <c r="B7" s="275" t="s">
        <v>204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 t="str">
        <f>IF(H7="","",(VLOOKUP(H7,'Reference List'!$B$3:$F$202,5,FALSE)))</f>
        <v/>
      </c>
      <c r="K7" s="275"/>
      <c r="L7" s="275"/>
      <c r="M7" s="275"/>
      <c r="N7" s="275"/>
      <c r="O7" s="275"/>
      <c r="P7" s="277"/>
      <c r="Q7" s="277"/>
      <c r="R7" s="275"/>
      <c r="S7" s="168"/>
    </row>
    <row r="8" spans="1:19" x14ac:dyDescent="0.25">
      <c r="A8" s="124">
        <v>3</v>
      </c>
      <c r="B8" s="275" t="s">
        <v>205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 t="str">
        <f>IF(H8="","",(VLOOKUP(H8,'Reference List'!$B$3:$F$202,5,FALSE)))</f>
        <v/>
      </c>
      <c r="K8" s="275"/>
      <c r="L8" s="275"/>
      <c r="M8" s="275"/>
      <c r="N8" s="275"/>
      <c r="O8" s="275"/>
      <c r="P8" s="277"/>
      <c r="Q8" s="277"/>
      <c r="R8" s="275"/>
      <c r="S8" s="168"/>
    </row>
    <row r="9" spans="1:19" x14ac:dyDescent="0.25">
      <c r="A9" s="135">
        <v>4</v>
      </c>
      <c r="B9" s="275" t="s">
        <v>206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 t="str">
        <f>IF(H9="","",(VLOOKUP(H9,'Reference List'!$B$3:$F$202,5,FALSE)))</f>
        <v/>
      </c>
      <c r="K9" s="275"/>
      <c r="L9" s="275"/>
      <c r="M9" s="275"/>
      <c r="N9" s="275"/>
      <c r="O9" s="275"/>
      <c r="P9" s="277"/>
      <c r="Q9" s="277"/>
      <c r="R9" s="275"/>
      <c r="S9" s="168"/>
    </row>
    <row r="10" spans="1:19" x14ac:dyDescent="0.25">
      <c r="A10" s="124">
        <v>5</v>
      </c>
      <c r="B10" s="275" t="s">
        <v>207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 t="str">
        <f>IF(H10="","",(VLOOKUP(H10,'Reference List'!$B$3:$F$202,5,FALSE)))</f>
        <v/>
      </c>
      <c r="K10" s="275"/>
      <c r="L10" s="275"/>
      <c r="M10" s="275"/>
      <c r="N10" s="275"/>
      <c r="O10" s="275"/>
      <c r="P10" s="277"/>
      <c r="Q10" s="277"/>
      <c r="R10" s="275"/>
      <c r="S10" s="168"/>
    </row>
    <row r="11" spans="1:19" x14ac:dyDescent="0.25">
      <c r="A11" s="135">
        <v>6</v>
      </c>
      <c r="B11" s="275" t="s">
        <v>208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 t="str">
        <f>IF(H11="","",(VLOOKUP(H11,'Reference List'!$B$3:$F$202,5,FALSE)))</f>
        <v/>
      </c>
      <c r="K11" s="275"/>
      <c r="L11" s="275"/>
      <c r="M11" s="275"/>
      <c r="N11" s="275"/>
      <c r="O11" s="275"/>
      <c r="P11" s="277"/>
      <c r="Q11" s="277"/>
      <c r="R11" s="275"/>
      <c r="S11" s="168"/>
    </row>
    <row r="12" spans="1:19" x14ac:dyDescent="0.25">
      <c r="A12" s="124">
        <v>7</v>
      </c>
      <c r="B12" s="275" t="s">
        <v>209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 t="str">
        <f>IF(H12="","",(VLOOKUP(H12,'Reference List'!$B$3:$F$202,5,FALSE)))</f>
        <v/>
      </c>
      <c r="K12" s="275"/>
      <c r="L12" s="275"/>
      <c r="M12" s="275"/>
      <c r="N12" s="275"/>
      <c r="O12" s="275"/>
      <c r="P12" s="275"/>
      <c r="Q12" s="275"/>
      <c r="R12" s="275"/>
      <c r="S12" s="168"/>
    </row>
    <row r="13" spans="1:19" x14ac:dyDescent="0.25">
      <c r="A13" s="135">
        <v>8</v>
      </c>
      <c r="B13" s="275" t="s">
        <v>210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 t="str">
        <f>IF(H13="","",(VLOOKUP(H13,'Reference List'!$B$3:$F$202,5,FALSE)))</f>
        <v/>
      </c>
      <c r="K13" s="275"/>
      <c r="L13" s="275"/>
      <c r="M13" s="275"/>
      <c r="N13" s="275"/>
      <c r="O13" s="275"/>
      <c r="P13" s="275"/>
      <c r="Q13" s="275"/>
      <c r="R13" s="275"/>
      <c r="S13" s="168"/>
    </row>
    <row r="14" spans="1:19" x14ac:dyDescent="0.25">
      <c r="A14" s="124">
        <v>9</v>
      </c>
      <c r="B14" s="275" t="s">
        <v>211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 t="str">
        <f>IF(H14="","",(VLOOKUP(H14,'Reference List'!$B$3:$F$202,5,FALSE)))</f>
        <v/>
      </c>
      <c r="K14" s="275"/>
      <c r="L14" s="275"/>
      <c r="M14" s="275"/>
      <c r="N14" s="275"/>
      <c r="O14" s="275"/>
      <c r="P14" s="275"/>
      <c r="Q14" s="275"/>
      <c r="R14" s="275"/>
      <c r="S14" s="168"/>
    </row>
    <row r="15" spans="1:19" x14ac:dyDescent="0.25">
      <c r="A15" s="135">
        <v>10</v>
      </c>
      <c r="B15" s="275" t="s">
        <v>212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 t="str">
        <f>IF(H15="","",(VLOOKUP(H15,'Reference List'!$B$3:$F$202,5,FALSE)))</f>
        <v/>
      </c>
      <c r="K15" s="275"/>
      <c r="L15" s="275"/>
      <c r="M15" s="275"/>
      <c r="N15" s="275"/>
      <c r="O15" s="275"/>
      <c r="P15" s="275"/>
      <c r="Q15" s="275"/>
      <c r="R15" s="275"/>
      <c r="S15" s="168"/>
    </row>
    <row r="16" spans="1:19" x14ac:dyDescent="0.25">
      <c r="A16" s="124">
        <v>11</v>
      </c>
      <c r="B16" s="275" t="s">
        <v>213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 t="str">
        <f>IF(H16="","",(VLOOKUP(H16,'Reference List'!$B$3:$F$202,5,FALSE)))</f>
        <v/>
      </c>
      <c r="K16" s="275"/>
      <c r="L16" s="275"/>
      <c r="M16" s="275"/>
      <c r="N16" s="275"/>
      <c r="O16" s="275"/>
      <c r="P16" s="275"/>
      <c r="Q16" s="275"/>
      <c r="R16" s="275"/>
      <c r="S16" s="168"/>
    </row>
    <row r="17" spans="1:19" x14ac:dyDescent="0.25">
      <c r="A17" s="124">
        <v>12</v>
      </c>
      <c r="B17" s="275" t="s">
        <v>214</v>
      </c>
      <c r="C17" s="279" t="e">
        <f t="shared" si="0"/>
        <v>#VALUE!</v>
      </c>
      <c r="D17" s="275"/>
      <c r="E17" s="275"/>
      <c r="F17" s="275"/>
      <c r="G17" s="275"/>
      <c r="H17" s="275"/>
      <c r="I17" s="275"/>
      <c r="J17" s="276" t="str">
        <f>IF(H17="","",(VLOOKUP(H17,'Reference List'!$B$3:$F$202,5,FALSE)))</f>
        <v/>
      </c>
      <c r="K17" s="275"/>
      <c r="L17" s="275"/>
      <c r="M17" s="275"/>
      <c r="N17" s="275"/>
      <c r="O17" s="275"/>
      <c r="P17" s="275"/>
      <c r="Q17" s="275"/>
      <c r="R17" s="275"/>
      <c r="S17" s="168"/>
    </row>
    <row r="18" spans="1:19" ht="15.75" thickBot="1" x14ac:dyDescent="0.3">
      <c r="A18" s="135">
        <v>13</v>
      </c>
      <c r="B18" s="275" t="s">
        <v>215</v>
      </c>
      <c r="C18" s="279" t="e">
        <f t="shared" si="0"/>
        <v>#VALUE!</v>
      </c>
      <c r="D18" s="275"/>
      <c r="E18" s="275"/>
      <c r="F18" s="275"/>
      <c r="G18" s="275"/>
      <c r="H18" s="275"/>
      <c r="I18" s="275" t="str">
        <f>IF(H18="","",(VLOOKUP(H18,'Reference List'!$B$3:$D$173,2,FALSE)))</f>
        <v/>
      </c>
      <c r="J18" s="276" t="str">
        <f>IF(H18="","",(VLOOKUP(H18,'Reference List'!$B$3:$F$202,5,FALSE)))</f>
        <v/>
      </c>
      <c r="K18" s="275"/>
      <c r="L18" s="275"/>
      <c r="M18" s="275"/>
      <c r="N18" s="275"/>
      <c r="O18" s="275"/>
      <c r="P18" s="275"/>
      <c r="Q18" s="275"/>
      <c r="R18" s="275"/>
      <c r="S18" s="168"/>
    </row>
    <row r="19" spans="1:19" ht="17.25" customHeight="1" thickBot="1" x14ac:dyDescent="0.3">
      <c r="A19" s="185"/>
      <c r="B19" s="186" t="s">
        <v>3</v>
      </c>
      <c r="C19" s="186" t="s">
        <v>3</v>
      </c>
      <c r="D19" s="187" t="s">
        <v>37</v>
      </c>
      <c r="E19" s="187" t="s">
        <v>46</v>
      </c>
      <c r="F19" s="187" t="s">
        <v>4</v>
      </c>
      <c r="G19" s="187" t="s">
        <v>38</v>
      </c>
      <c r="H19" s="187" t="s">
        <v>39</v>
      </c>
      <c r="I19" s="187" t="s">
        <v>40</v>
      </c>
      <c r="J19" s="187" t="s">
        <v>48</v>
      </c>
      <c r="K19" s="187" t="s">
        <v>49</v>
      </c>
      <c r="L19" s="187" t="s">
        <v>11</v>
      </c>
      <c r="M19" s="187" t="s">
        <v>13</v>
      </c>
      <c r="N19" s="187" t="s">
        <v>14</v>
      </c>
      <c r="O19" s="187" t="s">
        <v>15</v>
      </c>
      <c r="P19" s="187" t="s">
        <v>16</v>
      </c>
      <c r="Q19" s="187" t="s">
        <v>56</v>
      </c>
      <c r="R19" s="188" t="s">
        <v>47</v>
      </c>
      <c r="S19" s="189"/>
    </row>
    <row r="20" spans="1:19" ht="23.25" customHeight="1" thickBot="1" x14ac:dyDescent="0.3">
      <c r="A20" s="143"/>
      <c r="B20" s="144"/>
      <c r="C20" s="145"/>
      <c r="D20" s="146"/>
      <c r="E20" s="146"/>
      <c r="F20" s="147"/>
      <c r="G20" s="148"/>
      <c r="H20" s="311" t="s">
        <v>486</v>
      </c>
      <c r="I20" s="312"/>
      <c r="J20" s="149"/>
      <c r="K20" s="146"/>
      <c r="L20" s="146"/>
      <c r="M20" s="146"/>
      <c r="N20" s="146"/>
      <c r="O20" s="146"/>
      <c r="P20" s="146"/>
      <c r="Q20" s="146"/>
      <c r="R20" s="150"/>
      <c r="S20" s="172" t="s">
        <v>52</v>
      </c>
    </row>
    <row r="21" spans="1:19" ht="22.5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35">
        <v>19</v>
      </c>
      <c r="B22" s="275" t="s">
        <v>216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7"/>
      <c r="R22" s="275"/>
      <c r="S22" s="169"/>
    </row>
    <row r="23" spans="1:19" x14ac:dyDescent="0.25">
      <c r="A23" s="135">
        <v>20</v>
      </c>
      <c r="B23" s="275" t="s">
        <v>217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77"/>
      <c r="Q23" s="275"/>
      <c r="R23" s="275"/>
      <c r="S23" s="168"/>
    </row>
    <row r="24" spans="1:19" x14ac:dyDescent="0.25">
      <c r="A24" s="124">
        <v>21</v>
      </c>
      <c r="B24" s="275" t="s">
        <v>218</v>
      </c>
      <c r="C24" s="279" t="e">
        <f t="shared" si="1"/>
        <v>#VALUE!</v>
      </c>
      <c r="D24" s="275"/>
      <c r="E24" s="275"/>
      <c r="F24" s="275"/>
      <c r="G24" s="275"/>
      <c r="H24" s="275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7"/>
      <c r="R24" s="275"/>
      <c r="S24" s="168"/>
    </row>
    <row r="25" spans="1:19" x14ac:dyDescent="0.25">
      <c r="A25" s="135">
        <v>22</v>
      </c>
      <c r="B25" s="275" t="s">
        <v>219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7"/>
      <c r="Q25" s="275"/>
      <c r="R25" s="275"/>
      <c r="S25" s="168"/>
    </row>
    <row r="26" spans="1:19" x14ac:dyDescent="0.25">
      <c r="A26" s="124">
        <v>23</v>
      </c>
      <c r="B26" s="275" t="s">
        <v>220</v>
      </c>
      <c r="C26" s="279" t="e">
        <f t="shared" si="1"/>
        <v>#VALUE!</v>
      </c>
      <c r="D26" s="275"/>
      <c r="E26" s="275"/>
      <c r="F26" s="275"/>
      <c r="G26" s="275"/>
      <c r="H26" s="275"/>
      <c r="I26" s="275" t="str">
        <f>IF(H26="","",(VLOOKUP(H26,'Reference List'!$B$3:$D$173,2,FALSE)))</f>
        <v/>
      </c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7"/>
      <c r="Q26" s="275"/>
      <c r="R26" s="275"/>
      <c r="S26" s="168"/>
    </row>
    <row r="27" spans="1:19" x14ac:dyDescent="0.25">
      <c r="A27" s="135">
        <v>24</v>
      </c>
      <c r="B27" s="275" t="s">
        <v>221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7"/>
      <c r="Q27" s="275"/>
      <c r="R27" s="275"/>
      <c r="S27" s="168"/>
    </row>
    <row r="28" spans="1:19" x14ac:dyDescent="0.25">
      <c r="A28" s="124">
        <v>25</v>
      </c>
      <c r="B28" s="275" t="s">
        <v>222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5"/>
      <c r="Q28" s="275"/>
      <c r="R28" s="275"/>
      <c r="S28" s="168"/>
    </row>
    <row r="29" spans="1:19" x14ac:dyDescent="0.25">
      <c r="A29" s="135">
        <v>26</v>
      </c>
      <c r="B29" s="275" t="s">
        <v>223</v>
      </c>
      <c r="C29" s="279" t="e">
        <f t="shared" si="1"/>
        <v>#VALUE!</v>
      </c>
      <c r="D29" s="275"/>
      <c r="E29" s="275"/>
      <c r="F29" s="275"/>
      <c r="G29" s="275"/>
      <c r="H29" s="275"/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5"/>
      <c r="Q29" s="275"/>
      <c r="R29" s="275"/>
      <c r="S29" s="168"/>
    </row>
    <row r="30" spans="1:19" x14ac:dyDescent="0.25">
      <c r="A30" s="124">
        <v>27</v>
      </c>
      <c r="B30" s="275" t="s">
        <v>224</v>
      </c>
      <c r="C30" s="279" t="e">
        <f t="shared" si="1"/>
        <v>#VALUE!</v>
      </c>
      <c r="D30" s="275"/>
      <c r="E30" s="275"/>
      <c r="F30" s="275"/>
      <c r="G30" s="275"/>
      <c r="H30" s="275"/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5"/>
      <c r="Q30" s="275"/>
      <c r="R30" s="275"/>
      <c r="S30" s="168"/>
    </row>
    <row r="31" spans="1:19" x14ac:dyDescent="0.25">
      <c r="A31" s="135">
        <v>28</v>
      </c>
      <c r="B31" s="275" t="s">
        <v>225</v>
      </c>
      <c r="C31" s="279" t="e">
        <f t="shared" si="1"/>
        <v>#VALUE!</v>
      </c>
      <c r="D31" s="275"/>
      <c r="E31" s="275"/>
      <c r="F31" s="275"/>
      <c r="G31" s="275"/>
      <c r="H31" s="277"/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5"/>
      <c r="Q31" s="275"/>
      <c r="R31" s="275"/>
      <c r="S31" s="168"/>
    </row>
    <row r="32" spans="1:19" x14ac:dyDescent="0.25">
      <c r="A32" s="124">
        <v>29</v>
      </c>
      <c r="B32" s="275" t="s">
        <v>226</v>
      </c>
      <c r="C32" s="279" t="e">
        <f t="shared" si="1"/>
        <v>#VALUE!</v>
      </c>
      <c r="D32" s="275"/>
      <c r="E32" s="275"/>
      <c r="F32" s="275"/>
      <c r="G32" s="275"/>
      <c r="H32" s="277"/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5"/>
      <c r="Q32" s="275"/>
      <c r="R32" s="275"/>
      <c r="S32" s="168"/>
    </row>
    <row r="33" spans="1:19" x14ac:dyDescent="0.25">
      <c r="A33" s="135">
        <v>30</v>
      </c>
      <c r="B33" s="275" t="s">
        <v>227</v>
      </c>
      <c r="C33" s="279" t="e">
        <f t="shared" si="1"/>
        <v>#VALUE!</v>
      </c>
      <c r="D33" s="275"/>
      <c r="E33" s="275"/>
      <c r="F33" s="275"/>
      <c r="G33" s="275"/>
      <c r="H33" s="275"/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75"/>
      <c r="Q33" s="275"/>
      <c r="R33" s="275"/>
      <c r="S33" s="168"/>
    </row>
    <row r="34" spans="1:19" x14ac:dyDescent="0.25">
      <c r="A34" s="124">
        <v>31</v>
      </c>
      <c r="B34" s="275" t="s">
        <v>228</v>
      </c>
      <c r="C34" s="279" t="e">
        <f t="shared" si="1"/>
        <v>#VALUE!</v>
      </c>
      <c r="D34" s="275"/>
      <c r="E34" s="275"/>
      <c r="F34" s="275"/>
      <c r="G34" s="275"/>
      <c r="H34" s="275"/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5"/>
      <c r="Q34" s="275"/>
      <c r="R34" s="275"/>
      <c r="S34" s="168"/>
    </row>
    <row r="35" spans="1:19" x14ac:dyDescent="0.25">
      <c r="A35" s="135">
        <v>32</v>
      </c>
      <c r="B35" s="275" t="s">
        <v>229</v>
      </c>
      <c r="C35" s="279" t="e">
        <f t="shared" si="1"/>
        <v>#VALUE!</v>
      </c>
      <c r="D35" s="275"/>
      <c r="E35" s="275"/>
      <c r="F35" s="275"/>
      <c r="G35" s="275"/>
      <c r="H35" s="275"/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5"/>
      <c r="Q35" s="275"/>
      <c r="R35" s="275"/>
      <c r="S35" s="168"/>
    </row>
    <row r="36" spans="1:19" x14ac:dyDescent="0.25">
      <c r="A36" s="124">
        <v>33</v>
      </c>
      <c r="B36" s="275" t="s">
        <v>230</v>
      </c>
      <c r="C36" s="279" t="e">
        <f t="shared" si="1"/>
        <v>#VALUE!</v>
      </c>
      <c r="D36" s="275"/>
      <c r="E36" s="275"/>
      <c r="F36" s="275"/>
      <c r="G36" s="275"/>
      <c r="H36" s="275"/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75"/>
      <c r="Q36" s="275"/>
      <c r="R36" s="275"/>
      <c r="S36" s="168"/>
    </row>
    <row r="37" spans="1:19" x14ac:dyDescent="0.25">
      <c r="A37" s="135">
        <v>34</v>
      </c>
      <c r="B37" s="275" t="s">
        <v>231</v>
      </c>
      <c r="C37" s="279" t="e">
        <f t="shared" si="1"/>
        <v>#VALUE!</v>
      </c>
      <c r="D37" s="275"/>
      <c r="E37" s="275"/>
      <c r="F37" s="275"/>
      <c r="G37" s="275"/>
      <c r="H37" s="275"/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5"/>
      <c r="Q37" s="275"/>
      <c r="R37" s="275"/>
      <c r="S37" s="168"/>
    </row>
    <row r="38" spans="1:19" x14ac:dyDescent="0.25">
      <c r="A38" s="124">
        <v>35</v>
      </c>
      <c r="B38" s="275" t="s">
        <v>232</v>
      </c>
      <c r="C38" s="279" t="e">
        <f t="shared" si="1"/>
        <v>#VALUE!</v>
      </c>
      <c r="D38" s="275"/>
      <c r="E38" s="275"/>
      <c r="F38" s="275"/>
      <c r="G38" s="275"/>
      <c r="H38" s="275" t="str">
        <f>IF(G38="","",(VLOOKUP(G38,'Reference List'!$B$3:$D$173,2,FALSE)))</f>
        <v/>
      </c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5"/>
      <c r="Q38" s="275"/>
      <c r="R38" s="275"/>
      <c r="S38" s="168"/>
    </row>
    <row r="39" spans="1:19" x14ac:dyDescent="0.25">
      <c r="A39" s="135">
        <v>36</v>
      </c>
      <c r="B39" s="275" t="s">
        <v>233</v>
      </c>
      <c r="C39" s="279" t="e">
        <f t="shared" si="1"/>
        <v>#VALUE!</v>
      </c>
      <c r="D39" s="275"/>
      <c r="E39" s="275"/>
      <c r="F39" s="275"/>
      <c r="G39" s="275"/>
      <c r="H39" s="275" t="str">
        <f>IF(G39="","",(VLOOKUP(G39,'Reference List'!$B$3:$D$173,2,FALSE)))</f>
        <v/>
      </c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5"/>
      <c r="Q39" s="275"/>
      <c r="R39" s="275"/>
      <c r="S39" s="168"/>
    </row>
    <row r="40" spans="1:19" x14ac:dyDescent="0.25">
      <c r="A40" s="124">
        <v>37</v>
      </c>
      <c r="B40" s="275" t="s">
        <v>234</v>
      </c>
      <c r="C40" s="279" t="e">
        <f t="shared" si="1"/>
        <v>#VALUE!</v>
      </c>
      <c r="D40" s="275"/>
      <c r="E40" s="275"/>
      <c r="F40" s="275"/>
      <c r="G40" s="275"/>
      <c r="H40" s="275" t="str">
        <f>IF(G40="","",(VLOOKUP(G40,'Reference List'!$B$3:$D$173,2,FALSE)))</f>
        <v/>
      </c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5"/>
      <c r="Q40" s="275"/>
      <c r="R40" s="275"/>
      <c r="S40" s="168"/>
    </row>
    <row r="41" spans="1:19" x14ac:dyDescent="0.25">
      <c r="A41" s="135">
        <v>38</v>
      </c>
      <c r="B41" s="275" t="s">
        <v>235</v>
      </c>
      <c r="C41" s="279" t="e">
        <f t="shared" si="1"/>
        <v>#VALUE!</v>
      </c>
      <c r="D41" s="275"/>
      <c r="E41" s="275"/>
      <c r="F41" s="275"/>
      <c r="G41" s="275"/>
      <c r="H41" s="275" t="str">
        <f>IF(G41="","",(VLOOKUP(G41,'Reference List'!$B$3:$D$173,2,FALSE)))</f>
        <v/>
      </c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5"/>
      <c r="Q41" s="275"/>
      <c r="R41" s="275"/>
      <c r="S41" s="168"/>
    </row>
    <row r="42" spans="1:19" x14ac:dyDescent="0.25">
      <c r="A42" s="124">
        <v>39</v>
      </c>
      <c r="B42" s="275" t="s">
        <v>236</v>
      </c>
      <c r="C42" s="279" t="e">
        <f t="shared" si="1"/>
        <v>#VALUE!</v>
      </c>
      <c r="D42" s="275"/>
      <c r="E42" s="275"/>
      <c r="F42" s="275"/>
      <c r="G42" s="275"/>
      <c r="H42" s="275" t="str">
        <f>IF(G42="","",(VLOOKUP(G42,'Reference List'!$B$3:$D$168,2,FALSE)))</f>
        <v/>
      </c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5"/>
      <c r="Q42" s="275"/>
      <c r="R42" s="275"/>
      <c r="S42" s="168"/>
    </row>
    <row r="43" spans="1:19" x14ac:dyDescent="0.25">
      <c r="A43" s="135">
        <v>40</v>
      </c>
      <c r="B43" s="275" t="s">
        <v>237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5"/>
      <c r="Q43" s="275"/>
      <c r="R43" s="275"/>
      <c r="S43" s="168"/>
    </row>
    <row r="44" spans="1:19" x14ac:dyDescent="0.25">
      <c r="A44" s="124">
        <v>41</v>
      </c>
      <c r="B44" s="275" t="s">
        <v>238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5"/>
      <c r="Q44" s="275"/>
      <c r="R44" s="275"/>
      <c r="S44" s="168"/>
    </row>
    <row r="45" spans="1:19" x14ac:dyDescent="0.25">
      <c r="A45" s="135">
        <v>42</v>
      </c>
      <c r="B45" s="275" t="s">
        <v>239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5"/>
      <c r="Q45" s="275"/>
      <c r="R45" s="275"/>
      <c r="S45" s="168"/>
    </row>
    <row r="46" spans="1:19" x14ac:dyDescent="0.25">
      <c r="A46" s="124">
        <v>43</v>
      </c>
      <c r="B46" s="275" t="s">
        <v>240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5"/>
      <c r="Q46" s="275"/>
      <c r="R46" s="275"/>
      <c r="S46" s="168"/>
    </row>
    <row r="47" spans="1:19" x14ac:dyDescent="0.25">
      <c r="A47" s="135">
        <v>44</v>
      </c>
      <c r="B47" s="275" t="s">
        <v>241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8"/>
    </row>
    <row r="48" spans="1:19" x14ac:dyDescent="0.25">
      <c r="A48" s="124">
        <v>45</v>
      </c>
      <c r="B48" s="275" t="s">
        <v>242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8"/>
    </row>
    <row r="49" spans="1:19" x14ac:dyDescent="0.25">
      <c r="A49" s="135">
        <v>46</v>
      </c>
      <c r="B49" s="275" t="s">
        <v>243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8"/>
    </row>
    <row r="50" spans="1:19" x14ac:dyDescent="0.25">
      <c r="A50" s="124">
        <v>47</v>
      </c>
      <c r="B50" s="275" t="s">
        <v>244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8"/>
    </row>
    <row r="51" spans="1:19" x14ac:dyDescent="0.25">
      <c r="A51" s="135">
        <v>48</v>
      </c>
      <c r="B51" s="275" t="s">
        <v>245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8"/>
    </row>
    <row r="52" spans="1:19" x14ac:dyDescent="0.25">
      <c r="A52" s="124">
        <v>49</v>
      </c>
      <c r="B52" s="275" t="s">
        <v>246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8"/>
    </row>
    <row r="53" spans="1:19" x14ac:dyDescent="0.25">
      <c r="A53" s="135">
        <v>50</v>
      </c>
      <c r="B53" s="275" t="s">
        <v>247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8"/>
    </row>
    <row r="54" spans="1:19" x14ac:dyDescent="0.25">
      <c r="A54" s="124">
        <v>51</v>
      </c>
      <c r="B54" s="275" t="s">
        <v>248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8"/>
    </row>
    <row r="55" spans="1:19" x14ac:dyDescent="0.25">
      <c r="A55" s="135">
        <v>52</v>
      </c>
      <c r="B55" s="275" t="s">
        <v>249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8"/>
    </row>
    <row r="56" spans="1:19" x14ac:dyDescent="0.25">
      <c r="A56" s="124">
        <v>53</v>
      </c>
      <c r="B56" s="275" t="s">
        <v>250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8"/>
    </row>
    <row r="57" spans="1:19" x14ac:dyDescent="0.25">
      <c r="A57" s="135">
        <v>54</v>
      </c>
      <c r="B57" s="275" t="s">
        <v>251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68"/>
    </row>
    <row r="58" spans="1:19" x14ac:dyDescent="0.25">
      <c r="A58" s="124">
        <v>55</v>
      </c>
      <c r="B58" s="275" t="s">
        <v>252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68"/>
    </row>
    <row r="59" spans="1:19" x14ac:dyDescent="0.25">
      <c r="A59" s="135">
        <v>56</v>
      </c>
      <c r="B59" s="275" t="s">
        <v>253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68"/>
    </row>
    <row r="60" spans="1:19" x14ac:dyDescent="0.25">
      <c r="A60" s="124">
        <v>57</v>
      </c>
      <c r="B60" s="275" t="s">
        <v>254</v>
      </c>
      <c r="C60" s="279" t="e">
        <f t="shared" si="1"/>
        <v>#VALUE!</v>
      </c>
      <c r="D60" s="275"/>
      <c r="E60" s="275"/>
      <c r="F60" s="275"/>
      <c r="G60" s="275"/>
      <c r="H60" s="275"/>
      <c r="I60" s="275"/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68"/>
    </row>
    <row r="61" spans="1:19" x14ac:dyDescent="0.25">
      <c r="A61" s="135">
        <v>58</v>
      </c>
      <c r="B61" s="275" t="s">
        <v>255</v>
      </c>
      <c r="C61" s="279" t="e">
        <f t="shared" si="1"/>
        <v>#VALUE!</v>
      </c>
      <c r="D61" s="275"/>
      <c r="E61" s="275"/>
      <c r="F61" s="275"/>
      <c r="G61" s="275"/>
      <c r="H61" s="275"/>
      <c r="I61" s="275"/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68"/>
    </row>
    <row r="62" spans="1:19" x14ac:dyDescent="0.25">
      <c r="A62" s="124">
        <v>59</v>
      </c>
      <c r="B62" s="275" t="s">
        <v>256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68"/>
    </row>
    <row r="63" spans="1:19" x14ac:dyDescent="0.25">
      <c r="A63" s="135">
        <v>60</v>
      </c>
      <c r="B63" s="275" t="s">
        <v>257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 t="str">
        <f>IF(H63="","",(VLOOKUP(H63,'Reference List'!$B$3:$F$202,5,FALSE)))</f>
        <v/>
      </c>
      <c r="K63" s="275"/>
      <c r="L63" s="275"/>
      <c r="M63" s="275"/>
      <c r="N63" s="275"/>
      <c r="O63" s="275"/>
      <c r="P63" s="275"/>
      <c r="Q63" s="275"/>
      <c r="R63" s="275"/>
      <c r="S63" s="168"/>
    </row>
    <row r="64" spans="1:19" x14ac:dyDescent="0.25">
      <c r="A64" s="124">
        <v>61</v>
      </c>
      <c r="B64" s="275" t="s">
        <v>258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 t="str">
        <f>IF(H64="","",(VLOOKUP(H64,'Reference List'!$B$3:$F$202,5,FALSE)))</f>
        <v/>
      </c>
      <c r="K64" s="275"/>
      <c r="L64" s="275"/>
      <c r="M64" s="275"/>
      <c r="N64" s="275"/>
      <c r="O64" s="275"/>
      <c r="P64" s="275"/>
      <c r="Q64" s="275"/>
      <c r="R64" s="275"/>
      <c r="S64" s="168"/>
    </row>
    <row r="65" spans="1:19" x14ac:dyDescent="0.25">
      <c r="A65" s="135">
        <v>62</v>
      </c>
      <c r="B65" s="275" t="s">
        <v>259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 t="str">
        <f>IF(H65="","",(VLOOKUP(H65,'Reference List'!$B$3:$F$202,5,FALSE)))</f>
        <v/>
      </c>
      <c r="K65" s="275"/>
      <c r="L65" s="275"/>
      <c r="M65" s="275"/>
      <c r="N65" s="275"/>
      <c r="O65" s="275"/>
      <c r="P65" s="275"/>
      <c r="Q65" s="275"/>
      <c r="R65" s="275"/>
      <c r="S65" s="168"/>
    </row>
    <row r="66" spans="1:19" x14ac:dyDescent="0.25">
      <c r="A66" s="124">
        <v>63</v>
      </c>
      <c r="B66" s="275" t="s">
        <v>260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 t="str">
        <f>IF(H66="","",(VLOOKUP(H66,'Reference List'!$B$3:$F$202,5,FALSE)))</f>
        <v/>
      </c>
      <c r="K66" s="275"/>
      <c r="L66" s="275"/>
      <c r="M66" s="275"/>
      <c r="N66" s="275"/>
      <c r="O66" s="275"/>
      <c r="P66" s="275"/>
      <c r="Q66" s="275"/>
      <c r="R66" s="275"/>
      <c r="S66" s="168"/>
    </row>
    <row r="67" spans="1:19" x14ac:dyDescent="0.25">
      <c r="A67" s="135">
        <v>64</v>
      </c>
      <c r="B67" s="275" t="s">
        <v>261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 t="str">
        <f>IF(H67="","",(VLOOKUP(H67,'Reference List'!$B$3:$F$202,5,FALSE)))</f>
        <v/>
      </c>
      <c r="K67" s="275"/>
      <c r="L67" s="275"/>
      <c r="M67" s="275"/>
      <c r="N67" s="275"/>
      <c r="O67" s="275"/>
      <c r="P67" s="275"/>
      <c r="Q67" s="275"/>
      <c r="R67" s="275"/>
      <c r="S67" s="168"/>
    </row>
    <row r="68" spans="1:19" x14ac:dyDescent="0.25">
      <c r="A68" s="124">
        <v>65</v>
      </c>
      <c r="B68" s="275" t="s">
        <v>262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 t="str">
        <f>IF(H68="","",(VLOOKUP(H68,'Reference List'!$B$3:$F$202,5,FALSE)))</f>
        <v/>
      </c>
      <c r="K68" s="275"/>
      <c r="L68" s="275"/>
      <c r="M68" s="275"/>
      <c r="N68" s="275"/>
      <c r="O68" s="275"/>
      <c r="P68" s="275"/>
      <c r="Q68" s="275"/>
      <c r="R68" s="275"/>
      <c r="S68" s="168"/>
    </row>
    <row r="69" spans="1:19" x14ac:dyDescent="0.25">
      <c r="A69" s="135">
        <v>66</v>
      </c>
      <c r="B69" s="275" t="s">
        <v>263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 t="str">
        <f>IF(H69="","",(VLOOKUP(H69,'Reference List'!$B$3:$F$202,5,FALSE)))</f>
        <v/>
      </c>
      <c r="K69" s="275"/>
      <c r="L69" s="275"/>
      <c r="M69" s="275"/>
      <c r="N69" s="275"/>
      <c r="O69" s="275"/>
      <c r="P69" s="275"/>
      <c r="Q69" s="275"/>
      <c r="R69" s="275"/>
      <c r="S69" s="168"/>
    </row>
    <row r="70" spans="1:19" x14ac:dyDescent="0.25">
      <c r="A70" s="124">
        <v>67</v>
      </c>
      <c r="B70" s="275" t="s">
        <v>264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 t="str">
        <f>IF(H70="","",(VLOOKUP(H70,'Reference List'!$B$3:$F$202,5,FALSE)))</f>
        <v/>
      </c>
      <c r="K70" s="275"/>
      <c r="L70" s="275"/>
      <c r="M70" s="275"/>
      <c r="N70" s="275"/>
      <c r="O70" s="275"/>
      <c r="P70" s="275"/>
      <c r="Q70" s="275"/>
      <c r="R70" s="275"/>
      <c r="S70" s="168"/>
    </row>
    <row r="71" spans="1:19" x14ac:dyDescent="0.25">
      <c r="A71" s="135">
        <v>68</v>
      </c>
      <c r="B71" s="275" t="s">
        <v>265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 t="str">
        <f>IF(H71="","",(VLOOKUP(H71,'Reference List'!$B$3:$F$202,5,FALSE)))</f>
        <v/>
      </c>
      <c r="K71" s="275"/>
      <c r="L71" s="275"/>
      <c r="M71" s="275"/>
      <c r="N71" s="275"/>
      <c r="O71" s="275"/>
      <c r="P71" s="275"/>
      <c r="Q71" s="275"/>
      <c r="R71" s="275"/>
      <c r="S71" s="168"/>
    </row>
    <row r="72" spans="1:19" x14ac:dyDescent="0.25">
      <c r="A72" s="124">
        <v>69</v>
      </c>
      <c r="B72" s="275" t="s">
        <v>266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 t="str">
        <f>IF(H72="","",(VLOOKUP(H72,'Reference List'!$B$3:$F$202,5,FALSE)))</f>
        <v/>
      </c>
      <c r="K72" s="275"/>
      <c r="L72" s="275"/>
      <c r="M72" s="275"/>
      <c r="N72" s="275"/>
      <c r="O72" s="275"/>
      <c r="P72" s="275"/>
      <c r="Q72" s="275"/>
      <c r="R72" s="275"/>
      <c r="S72" s="168"/>
    </row>
    <row r="73" spans="1:19" x14ac:dyDescent="0.25">
      <c r="A73" s="135">
        <v>70</v>
      </c>
      <c r="B73" s="275" t="s">
        <v>267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 t="str">
        <f>IF(H73="","",(VLOOKUP(H73,'Reference List'!$B$3:$F$202,5,FALSE)))</f>
        <v/>
      </c>
      <c r="K73" s="275"/>
      <c r="L73" s="275"/>
      <c r="M73" s="275"/>
      <c r="N73" s="275"/>
      <c r="O73" s="275"/>
      <c r="P73" s="275"/>
      <c r="Q73" s="275"/>
      <c r="R73" s="275"/>
      <c r="S73" s="168"/>
    </row>
    <row r="74" spans="1:19" x14ac:dyDescent="0.25">
      <c r="A74" s="124">
        <v>71</v>
      </c>
      <c r="B74" s="275" t="s">
        <v>268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 t="str">
        <f>IF(H74="","",(VLOOKUP(H74,'Reference List'!$B$3:$F$202,5,FALSE)))</f>
        <v/>
      </c>
      <c r="K74" s="275"/>
      <c r="L74" s="275"/>
      <c r="M74" s="275"/>
      <c r="N74" s="275"/>
      <c r="O74" s="275"/>
      <c r="P74" s="275"/>
      <c r="Q74" s="275"/>
      <c r="R74" s="275"/>
      <c r="S74" s="168"/>
    </row>
    <row r="75" spans="1:19" x14ac:dyDescent="0.25">
      <c r="A75" s="135">
        <v>72</v>
      </c>
      <c r="B75" s="275" t="s">
        <v>269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 t="str">
        <f>IF(H75="","",(VLOOKUP(H75,'Reference List'!$B$3:$F$202,5,FALSE)))</f>
        <v/>
      </c>
      <c r="K75" s="275"/>
      <c r="L75" s="275"/>
      <c r="M75" s="275"/>
      <c r="N75" s="275"/>
      <c r="O75" s="275"/>
      <c r="P75" s="275"/>
      <c r="Q75" s="275"/>
      <c r="R75" s="275"/>
      <c r="S75" s="168"/>
    </row>
    <row r="76" spans="1:19" x14ac:dyDescent="0.25">
      <c r="A76" s="124">
        <v>73</v>
      </c>
      <c r="B76" s="275" t="s">
        <v>270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 t="str">
        <f>IF(H76="","",(VLOOKUP(H76,'Reference List'!$B$3:$F$202,5,FALSE)))</f>
        <v/>
      </c>
      <c r="K76" s="275"/>
      <c r="L76" s="275"/>
      <c r="M76" s="275"/>
      <c r="N76" s="275"/>
      <c r="O76" s="275"/>
      <c r="P76" s="275"/>
      <c r="Q76" s="275"/>
      <c r="R76" s="275"/>
      <c r="S76" s="168"/>
    </row>
    <row r="77" spans="1:19" x14ac:dyDescent="0.25">
      <c r="A77" s="135">
        <v>74</v>
      </c>
      <c r="B77" s="275" t="s">
        <v>271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 t="str">
        <f>IF(H77="","",(VLOOKUP(H77,'Reference List'!$B$3:$F$202,5,FALSE)))</f>
        <v/>
      </c>
      <c r="K77" s="275"/>
      <c r="L77" s="275"/>
      <c r="M77" s="275"/>
      <c r="N77" s="275"/>
      <c r="O77" s="275"/>
      <c r="P77" s="275"/>
      <c r="Q77" s="275"/>
      <c r="R77" s="275"/>
      <c r="S77" s="168"/>
    </row>
    <row r="78" spans="1:19" x14ac:dyDescent="0.25">
      <c r="A78" s="124">
        <v>75</v>
      </c>
      <c r="B78" s="275" t="s">
        <v>272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 t="str">
        <f>IF(H78="","",(VLOOKUP(H78,'Reference List'!$B$3:$F$202,5,FALSE)))</f>
        <v/>
      </c>
      <c r="K78" s="275"/>
      <c r="L78" s="275"/>
      <c r="M78" s="275"/>
      <c r="N78" s="275"/>
      <c r="O78" s="275"/>
      <c r="P78" s="275"/>
      <c r="Q78" s="275"/>
      <c r="R78" s="275"/>
      <c r="S78" s="168"/>
    </row>
    <row r="79" spans="1:19" x14ac:dyDescent="0.25">
      <c r="A79" s="135">
        <v>76</v>
      </c>
      <c r="B79" s="275" t="s">
        <v>273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 t="str">
        <f>IF(H79="","",(VLOOKUP(H79,'Reference List'!$B$3:$F$202,5,FALSE)))</f>
        <v/>
      </c>
      <c r="K79" s="275"/>
      <c r="L79" s="275"/>
      <c r="M79" s="275"/>
      <c r="N79" s="275"/>
      <c r="O79" s="275"/>
      <c r="P79" s="275"/>
      <c r="Q79" s="275"/>
      <c r="R79" s="275"/>
      <c r="S79" s="168"/>
    </row>
    <row r="80" spans="1:19" x14ac:dyDescent="0.25">
      <c r="A80" s="124">
        <v>77</v>
      </c>
      <c r="B80" s="275" t="s">
        <v>274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 t="str">
        <f>IF(H80="","",(VLOOKUP(H80,'Reference List'!$B$3:$F$202,5,FALSE)))</f>
        <v/>
      </c>
      <c r="K80" s="275"/>
      <c r="L80" s="275"/>
      <c r="M80" s="275"/>
      <c r="N80" s="275"/>
      <c r="O80" s="275"/>
      <c r="P80" s="275"/>
      <c r="Q80" s="275"/>
      <c r="R80" s="275"/>
      <c r="S80" s="168"/>
    </row>
    <row r="81" spans="1:19" x14ac:dyDescent="0.25">
      <c r="A81" s="135">
        <v>78</v>
      </c>
      <c r="B81" s="275" t="s">
        <v>275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 t="str">
        <f>IF(H81="","",(VLOOKUP(H81,'Reference List'!$B$3:$F$202,5,FALSE)))</f>
        <v/>
      </c>
      <c r="K81" s="275"/>
      <c r="L81" s="275"/>
      <c r="M81" s="275"/>
      <c r="N81" s="275"/>
      <c r="O81" s="275"/>
      <c r="P81" s="275"/>
      <c r="Q81" s="275"/>
      <c r="R81" s="275"/>
      <c r="S81" s="168"/>
    </row>
    <row r="82" spans="1:19" x14ac:dyDescent="0.25">
      <c r="A82" s="124">
        <v>79</v>
      </c>
      <c r="B82" s="275" t="s">
        <v>276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 t="str">
        <f>IF(H82="","",(VLOOKUP(H82,'Reference List'!$B$3:$F$202,5,FALSE)))</f>
        <v/>
      </c>
      <c r="K82" s="275"/>
      <c r="L82" s="275"/>
      <c r="M82" s="275"/>
      <c r="N82" s="275"/>
      <c r="O82" s="275"/>
      <c r="P82" s="275"/>
      <c r="Q82" s="275"/>
      <c r="R82" s="275"/>
      <c r="S82" s="130"/>
    </row>
    <row r="83" spans="1:19" x14ac:dyDescent="0.25">
      <c r="A83" s="135">
        <v>80</v>
      </c>
      <c r="B83" s="275" t="s">
        <v>277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 t="str">
        <f>IF(H83="","",(VLOOKUP(H83,'Reference List'!$B$3:$F$202,5,FALSE)))</f>
        <v/>
      </c>
      <c r="K83" s="275"/>
      <c r="L83" s="275"/>
      <c r="M83" s="275"/>
      <c r="N83" s="275"/>
      <c r="O83" s="275"/>
      <c r="P83" s="275"/>
      <c r="Q83" s="275"/>
      <c r="R83" s="275"/>
      <c r="S83" s="130"/>
    </row>
    <row r="84" spans="1:19" x14ac:dyDescent="0.25">
      <c r="A84" s="124">
        <v>81</v>
      </c>
      <c r="B84" s="275" t="s">
        <v>278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 t="str">
        <f>IF(H84="","",(VLOOKUP(H84,'Reference List'!$B$3:$F$202,5,FALSE)))</f>
        <v/>
      </c>
      <c r="K84" s="275"/>
      <c r="L84" s="275"/>
      <c r="M84" s="275"/>
      <c r="N84" s="275"/>
      <c r="O84" s="275"/>
      <c r="P84" s="275"/>
      <c r="Q84" s="275"/>
      <c r="R84" s="275"/>
      <c r="S84" s="130"/>
    </row>
    <row r="85" spans="1:19" x14ac:dyDescent="0.25">
      <c r="A85" s="135">
        <v>82</v>
      </c>
      <c r="B85" s="275" t="s">
        <v>279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 t="str">
        <f>IF(H85="","",(VLOOKUP(H85,'Reference List'!$B$3:$F$202,5,FALSE)))</f>
        <v/>
      </c>
      <c r="K85" s="275"/>
      <c r="L85" s="275"/>
      <c r="M85" s="275"/>
      <c r="N85" s="275"/>
      <c r="O85" s="275"/>
      <c r="P85" s="275"/>
      <c r="Q85" s="275"/>
      <c r="R85" s="275"/>
      <c r="S85" s="130"/>
    </row>
    <row r="86" spans="1:19" x14ac:dyDescent="0.25">
      <c r="A86" s="124">
        <v>83</v>
      </c>
      <c r="B86" s="275" t="s">
        <v>280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 t="str">
        <f>IF(H86="","",(VLOOKUP(H86,'Reference List'!$B$3:$F$202,5,FALSE)))</f>
        <v/>
      </c>
      <c r="K86" s="275"/>
      <c r="L86" s="275"/>
      <c r="M86" s="275"/>
      <c r="N86" s="275"/>
      <c r="O86" s="275"/>
      <c r="P86" s="275"/>
      <c r="Q86" s="275"/>
      <c r="R86" s="275"/>
      <c r="S86" s="130"/>
    </row>
    <row r="87" spans="1:19" x14ac:dyDescent="0.25">
      <c r="A87" s="135">
        <v>84</v>
      </c>
      <c r="B87" s="275" t="s">
        <v>281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 t="str">
        <f>IF(H87="","",(VLOOKUP(H87,'Reference List'!$B$3:$F$202,5,FALSE)))</f>
        <v/>
      </c>
      <c r="K87" s="275"/>
      <c r="L87" s="275"/>
      <c r="M87" s="275"/>
      <c r="N87" s="275"/>
      <c r="O87" s="275"/>
      <c r="P87" s="275"/>
      <c r="Q87" s="275"/>
      <c r="R87" s="275"/>
      <c r="S87" s="130"/>
    </row>
    <row r="88" spans="1:19" x14ac:dyDescent="0.25">
      <c r="A88" s="124">
        <v>85</v>
      </c>
      <c r="B88" s="275" t="s">
        <v>282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 t="str">
        <f>IF(H88="","",(VLOOKUP(H88,'Reference List'!$B$3:$F$202,5,FALSE)))</f>
        <v/>
      </c>
      <c r="K88" s="275"/>
      <c r="L88" s="275"/>
      <c r="M88" s="275"/>
      <c r="N88" s="275"/>
      <c r="O88" s="275"/>
      <c r="P88" s="275"/>
      <c r="Q88" s="275"/>
      <c r="R88" s="275"/>
      <c r="S88" s="130"/>
    </row>
    <row r="89" spans="1:19" x14ac:dyDescent="0.25">
      <c r="A89" s="135">
        <v>86</v>
      </c>
      <c r="B89" s="275" t="s">
        <v>283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 t="str">
        <f>IF(H89="","",(VLOOKUP(H89,'Reference List'!$B$3:$F$202,5,FALSE)))</f>
        <v/>
      </c>
      <c r="K89" s="275"/>
      <c r="L89" s="275"/>
      <c r="M89" s="275"/>
      <c r="N89" s="275"/>
      <c r="O89" s="275"/>
      <c r="P89" s="275"/>
      <c r="Q89" s="275"/>
      <c r="R89" s="275"/>
      <c r="S89" s="130"/>
    </row>
    <row r="90" spans="1:19" x14ac:dyDescent="0.25">
      <c r="A90" s="124">
        <v>87</v>
      </c>
      <c r="B90" s="275" t="s">
        <v>284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 t="str">
        <f>IF(H90="","",(VLOOKUP(H90,'Reference List'!$B$3:$F$202,5,FALSE)))</f>
        <v/>
      </c>
      <c r="K90" s="275"/>
      <c r="L90" s="275"/>
      <c r="M90" s="275"/>
      <c r="N90" s="275"/>
      <c r="O90" s="275"/>
      <c r="P90" s="275"/>
      <c r="Q90" s="275"/>
      <c r="R90" s="275"/>
      <c r="S90" s="130"/>
    </row>
    <row r="91" spans="1:19" x14ac:dyDescent="0.25">
      <c r="A91" s="135">
        <v>88</v>
      </c>
      <c r="B91" s="275" t="s">
        <v>285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 t="str">
        <f>IF(H91="","",(VLOOKUP(H91,'Reference List'!$B$3:$F$202,5,FALSE)))</f>
        <v/>
      </c>
      <c r="K91" s="275"/>
      <c r="L91" s="275"/>
      <c r="M91" s="275"/>
      <c r="N91" s="275"/>
      <c r="O91" s="275"/>
      <c r="P91" s="275"/>
      <c r="Q91" s="275"/>
      <c r="R91" s="275"/>
      <c r="S91" s="130"/>
    </row>
    <row r="92" spans="1:19" x14ac:dyDescent="0.25">
      <c r="A92" s="124">
        <v>89</v>
      </c>
      <c r="B92" s="275" t="s">
        <v>286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 t="str">
        <f>IF(H92="","",(VLOOKUP(H92,'Reference List'!$B$3:$F$202,5,FALSE)))</f>
        <v/>
      </c>
      <c r="K92" s="275"/>
      <c r="L92" s="275"/>
      <c r="M92" s="275"/>
      <c r="N92" s="275"/>
      <c r="O92" s="275"/>
      <c r="P92" s="275"/>
      <c r="Q92" s="275"/>
      <c r="R92" s="275"/>
      <c r="S92" s="130"/>
    </row>
    <row r="93" spans="1:19" x14ac:dyDescent="0.25">
      <c r="A93" s="135">
        <v>90</v>
      </c>
      <c r="B93" s="275" t="s">
        <v>287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 t="str">
        <f>IF(H93="","",(VLOOKUP(H93,'Reference List'!$B$3:$F$202,5,FALSE)))</f>
        <v/>
      </c>
      <c r="K93" s="275"/>
      <c r="L93" s="275"/>
      <c r="M93" s="275"/>
      <c r="N93" s="275"/>
      <c r="O93" s="275"/>
      <c r="P93" s="275"/>
      <c r="Q93" s="275"/>
      <c r="R93" s="275"/>
      <c r="S93" s="130"/>
    </row>
    <row r="94" spans="1:19" x14ac:dyDescent="0.25">
      <c r="A94" s="124">
        <v>91</v>
      </c>
      <c r="B94" s="275" t="s">
        <v>288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 t="str">
        <f>IF(H94="","",(VLOOKUP(H94,'Reference List'!$B$3:$F$202,5,FALSE)))</f>
        <v/>
      </c>
      <c r="K94" s="275"/>
      <c r="L94" s="275"/>
      <c r="M94" s="275"/>
      <c r="N94" s="275"/>
      <c r="O94" s="275"/>
      <c r="P94" s="275"/>
      <c r="Q94" s="275"/>
      <c r="R94" s="275"/>
      <c r="S94" s="130"/>
    </row>
    <row r="95" spans="1:19" x14ac:dyDescent="0.25">
      <c r="A95" s="135">
        <v>92</v>
      </c>
      <c r="B95" s="275" t="s">
        <v>289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 t="str">
        <f>IF(H95="","",(VLOOKUP(H95,'Reference List'!$B$3:$F$202,5,FALSE)))</f>
        <v/>
      </c>
      <c r="K95" s="275"/>
      <c r="L95" s="275"/>
      <c r="M95" s="275"/>
      <c r="N95" s="275"/>
      <c r="O95" s="275"/>
      <c r="P95" s="275"/>
      <c r="Q95" s="275"/>
      <c r="R95" s="275"/>
      <c r="S95" s="130"/>
    </row>
    <row r="96" spans="1:19" x14ac:dyDescent="0.25">
      <c r="A96" s="124">
        <v>93</v>
      </c>
      <c r="B96" s="275" t="s">
        <v>290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 t="str">
        <f>IF(H96="","",(VLOOKUP(H96,'Reference List'!$B$3:$F$202,5,FALSE)))</f>
        <v/>
      </c>
      <c r="K96" s="275"/>
      <c r="L96" s="275"/>
      <c r="M96" s="275"/>
      <c r="N96" s="275"/>
      <c r="O96" s="275"/>
      <c r="P96" s="275"/>
      <c r="Q96" s="275"/>
      <c r="R96" s="275"/>
      <c r="S96" s="130"/>
    </row>
    <row r="97" spans="1:19" x14ac:dyDescent="0.25">
      <c r="A97" s="135">
        <v>94</v>
      </c>
      <c r="B97" s="275" t="s">
        <v>291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 t="str">
        <f>IF(H97="","",(VLOOKUP(H97,'Reference List'!$B$3:$F$202,5,FALSE)))</f>
        <v/>
      </c>
      <c r="K97" s="275"/>
      <c r="L97" s="275"/>
      <c r="M97" s="275"/>
      <c r="N97" s="275"/>
      <c r="O97" s="275"/>
      <c r="P97" s="275"/>
      <c r="Q97" s="275"/>
      <c r="R97" s="275"/>
      <c r="S97" s="130"/>
    </row>
    <row r="98" spans="1:19" x14ac:dyDescent="0.25">
      <c r="A98" s="124">
        <v>95</v>
      </c>
      <c r="B98" s="275" t="s">
        <v>292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 t="str">
        <f>IF(H98="","",(VLOOKUP(H98,'Reference List'!$B$3:$F$202,5,FALSE)))</f>
        <v/>
      </c>
      <c r="K98" s="275"/>
      <c r="L98" s="275"/>
      <c r="M98" s="275"/>
      <c r="N98" s="275"/>
      <c r="O98" s="275"/>
      <c r="P98" s="275"/>
      <c r="Q98" s="275"/>
      <c r="R98" s="275"/>
      <c r="S98" s="130"/>
    </row>
    <row r="99" spans="1:19" x14ac:dyDescent="0.25">
      <c r="A99" s="135">
        <v>96</v>
      </c>
      <c r="B99" s="275" t="s">
        <v>293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 t="str">
        <f>IF(H99="","",(VLOOKUP(H99,'Reference List'!$B$3:$F$202,5,FALSE)))</f>
        <v/>
      </c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97</v>
      </c>
      <c r="B100" s="275" t="s">
        <v>294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 t="str">
        <f>IF(H100="","",(VLOOKUP(H100,'Reference List'!$B$3:$F$202,5,FALSE)))</f>
        <v/>
      </c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98</v>
      </c>
      <c r="B101" s="275" t="s">
        <v>295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 t="str">
        <f>IF(H101="","",(VLOOKUP(H101,'Reference List'!$B$3:$F$202,5,FALSE)))</f>
        <v/>
      </c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99</v>
      </c>
      <c r="B102" s="275" t="s">
        <v>296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 t="str">
        <f>IF(H102="","",(VLOOKUP(H102,'Reference List'!$B$3:$F$202,5,FALSE)))</f>
        <v/>
      </c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35">
        <v>100</v>
      </c>
      <c r="B103" s="275" t="s">
        <v>297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 t="str">
        <f>IF(H103="","",(VLOOKUP(H103,'Reference List'!$B$3:$F$202,5,FALSE)))</f>
        <v/>
      </c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5">
    <mergeCell ref="H4:I4"/>
    <mergeCell ref="H20:I20"/>
    <mergeCell ref="L2:M2"/>
    <mergeCell ref="N2:P2"/>
    <mergeCell ref="Q2:S2"/>
  </mergeCells>
  <phoneticPr fontId="74" type="noConversion"/>
  <conditionalFormatting sqref="H41">
    <cfRule type="cellIs" dxfId="258" priority="21" operator="equal">
      <formula>#N/A</formula>
    </cfRule>
  </conditionalFormatting>
  <conditionalFormatting sqref="H3 H6 H22:H23 H25:H30 H33:H41 H8:H15">
    <cfRule type="cellIs" dxfId="257" priority="20" operator="equal">
      <formula>#N/A</formula>
    </cfRule>
  </conditionalFormatting>
  <conditionalFormatting sqref="H42">
    <cfRule type="cellIs" dxfId="256" priority="19" operator="equal">
      <formula>#N/A</formula>
    </cfRule>
  </conditionalFormatting>
  <conditionalFormatting sqref="G1:G2">
    <cfRule type="cellIs" dxfId="255" priority="18" operator="equal">
      <formula>#N/A</formula>
    </cfRule>
  </conditionalFormatting>
  <conditionalFormatting sqref="I6:I18 I22:I59">
    <cfRule type="cellIs" dxfId="254" priority="17" operator="equal">
      <formula>#N/A</formula>
    </cfRule>
  </conditionalFormatting>
  <conditionalFormatting sqref="H19">
    <cfRule type="cellIs" dxfId="253" priority="16" operator="equal">
      <formula>#N/A</formula>
    </cfRule>
  </conditionalFormatting>
  <conditionalFormatting sqref="H31">
    <cfRule type="cellIs" dxfId="252" priority="13" operator="equal">
      <formula>#N/A</formula>
    </cfRule>
  </conditionalFormatting>
  <conditionalFormatting sqref="H32">
    <cfRule type="cellIs" dxfId="251" priority="11" operator="equal">
      <formula>#N/A</formula>
    </cfRule>
  </conditionalFormatting>
  <conditionalFormatting sqref="S6:S18">
    <cfRule type="cellIs" dxfId="250" priority="8" operator="equal">
      <formula>"DRY"</formula>
    </cfRule>
    <cfRule type="cellIs" dxfId="249" priority="9" operator="equal">
      <formula>"CH"</formula>
    </cfRule>
  </conditionalFormatting>
  <conditionalFormatting sqref="S22:S61">
    <cfRule type="cellIs" dxfId="248" priority="6" operator="equal">
      <formula>"DRY"</formula>
    </cfRule>
    <cfRule type="cellIs" dxfId="247" priority="7" operator="equal">
      <formula>"CHILLER"</formula>
    </cfRule>
  </conditionalFormatting>
  <conditionalFormatting sqref="H5">
    <cfRule type="cellIs" dxfId="246" priority="5" operator="equal">
      <formula>#N/A</formula>
    </cfRule>
  </conditionalFormatting>
  <conditionalFormatting sqref="H21">
    <cfRule type="cellIs" dxfId="245" priority="4" operator="equal">
      <formula>#N/A</formula>
    </cfRule>
  </conditionalFormatting>
  <conditionalFormatting sqref="H7">
    <cfRule type="cellIs" dxfId="244" priority="3" operator="equal">
      <formula>#N/A</formula>
    </cfRule>
  </conditionalFormatting>
  <conditionalFormatting sqref="H24">
    <cfRule type="cellIs" dxfId="243" priority="2" operator="equal">
      <formula>#N/A</formula>
    </cfRule>
  </conditionalFormatting>
  <conditionalFormatting sqref="H16:H18">
    <cfRule type="cellIs" dxfId="242" priority="1" operator="equal">
      <formula>#N/A</formula>
    </cfRule>
  </conditionalFormatting>
  <dataValidations count="1">
    <dataValidation type="list" allowBlank="1" showInputMessage="1" showErrorMessage="1" sqref="S6:S18 S22:S55" xr:uid="{00000000-0002-0000-0300-000000000000}">
      <formula1>TEMP</formula1>
    </dataValidation>
  </dataValidations>
  <pageMargins left="1" right="1" top="1" bottom="1" header="0.5" footer="0.5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19050</xdr:colOff>
                    <xdr:row>2</xdr:row>
                    <xdr:rowOff>266700</xdr:rowOff>
                  </from>
                  <to>
                    <xdr:col>21</xdr:col>
                    <xdr:colOff>104775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fitToPage="1"/>
  </sheetPr>
  <dimension ref="A1:S103"/>
  <sheetViews>
    <sheetView zoomScaleNormal="100" zoomScaleSheetLayoutView="100" workbookViewId="0">
      <pane xSplit="1" ySplit="4" topLeftCell="B5" activePane="bottomRight" state="frozen"/>
      <selection activeCell="F17" sqref="F17"/>
      <selection pane="topRight" activeCell="F17" sqref="F17"/>
      <selection pane="bottomLeft" activeCell="F17" sqref="F17"/>
      <selection pane="bottomRight" activeCell="B17" sqref="B17"/>
    </sheetView>
  </sheetViews>
  <sheetFormatPr defaultRowHeight="15" x14ac:dyDescent="0.25"/>
  <cols>
    <col min="1" max="1" width="0.28515625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" customWidth="1"/>
    <col min="7" max="7" width="16.140625" customWidth="1"/>
    <col min="8" max="8" width="35.42578125" customWidth="1"/>
    <col min="9" max="9" width="40.5703125" customWidth="1"/>
    <col min="10" max="10" width="11.85546875" customWidth="1"/>
    <col min="11" max="11" width="11.140625" customWidth="1"/>
    <col min="12" max="12" width="6.5703125" customWidth="1"/>
    <col min="13" max="13" width="6.42578125" customWidth="1"/>
    <col min="14" max="14" width="0.140625" customWidth="1"/>
    <col min="15" max="15" width="6.7109375" hidden="1" customWidth="1"/>
    <col min="16" max="16" width="12.7109375" customWidth="1"/>
    <col min="17" max="17" width="11.7109375" customWidth="1"/>
    <col min="18" max="18" width="14.5703125" customWidth="1"/>
    <col min="19" max="19" width="13.7109375" hidden="1" customWidth="1"/>
  </cols>
  <sheetData>
    <row r="1" spans="1:19" ht="36.75" customHeight="1" thickBot="1" x14ac:dyDescent="0.3">
      <c r="A1" s="1"/>
      <c r="B1" s="1"/>
      <c r="C1" s="1"/>
      <c r="D1" s="1"/>
      <c r="E1" s="1"/>
      <c r="F1" s="2"/>
      <c r="G1" s="1"/>
      <c r="H1" s="1"/>
      <c r="I1" s="3"/>
      <c r="J1" s="1"/>
      <c r="K1" s="1"/>
      <c r="L1" s="4"/>
      <c r="M1" s="4"/>
      <c r="N1" s="4"/>
      <c r="O1" s="4"/>
      <c r="P1" s="4"/>
      <c r="Q1" s="4"/>
      <c r="R1" s="1"/>
    </row>
    <row r="2" spans="1:19" ht="66.75" customHeight="1" thickBot="1" x14ac:dyDescent="0.55000000000000004">
      <c r="A2" s="106"/>
      <c r="B2" s="173"/>
      <c r="C2" s="106"/>
      <c r="D2" s="174"/>
      <c r="E2" s="174"/>
      <c r="F2" s="106" t="s">
        <v>32</v>
      </c>
      <c r="G2" s="106"/>
      <c r="H2" s="106"/>
      <c r="I2" s="175"/>
      <c r="J2" s="176"/>
      <c r="K2" s="106"/>
      <c r="L2" s="313" t="s">
        <v>53</v>
      </c>
      <c r="M2" s="328"/>
      <c r="N2" s="329" t="str">
        <f>Monday!N2</f>
        <v>xxxx</v>
      </c>
      <c r="O2" s="329"/>
      <c r="P2" s="330"/>
      <c r="Q2" s="318" t="e">
        <f>N2-3</f>
        <v>#VALUE!</v>
      </c>
      <c r="R2" s="319"/>
      <c r="S2" s="320"/>
    </row>
    <row r="3" spans="1:19" ht="15.75" customHeight="1" thickBot="1" x14ac:dyDescent="0.3">
      <c r="A3" s="185"/>
      <c r="B3" s="194"/>
      <c r="C3" s="194"/>
      <c r="D3" s="195"/>
      <c r="E3" s="196"/>
      <c r="F3" s="187"/>
      <c r="G3" s="187"/>
      <c r="H3" s="187"/>
      <c r="I3" s="188"/>
      <c r="J3" s="187"/>
      <c r="K3" s="187"/>
      <c r="L3" s="187"/>
      <c r="M3" s="187"/>
      <c r="N3" s="187"/>
      <c r="O3" s="187"/>
      <c r="P3" s="187"/>
      <c r="Q3" s="187"/>
      <c r="R3" s="187"/>
      <c r="S3" s="189"/>
    </row>
    <row r="4" spans="1:19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19" ht="23.2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19" x14ac:dyDescent="0.25">
      <c r="A6" s="135">
        <v>1</v>
      </c>
      <c r="B6" s="275" t="s">
        <v>298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 t="str">
        <f>IF(H6="","",(VLOOKUP(H6,'Reference List'!$B$3:$F$202,5,FALSE)))</f>
        <v/>
      </c>
      <c r="K6" s="275"/>
      <c r="L6" s="275"/>
      <c r="M6" s="275"/>
      <c r="N6" s="275"/>
      <c r="O6" s="275"/>
      <c r="P6" s="277"/>
      <c r="Q6" s="277"/>
      <c r="R6" s="275"/>
      <c r="S6" s="169"/>
    </row>
    <row r="7" spans="1:19" x14ac:dyDescent="0.25">
      <c r="A7" s="124">
        <v>2</v>
      </c>
      <c r="B7" s="275" t="s">
        <v>299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 t="str">
        <f>IF(H7="","",(VLOOKUP(H7,'Reference List'!$B$3:$F$202,5,FALSE)))</f>
        <v/>
      </c>
      <c r="K7" s="275"/>
      <c r="L7" s="275"/>
      <c r="M7" s="275"/>
      <c r="N7" s="275"/>
      <c r="O7" s="275"/>
      <c r="P7" s="277"/>
      <c r="Q7" s="277"/>
      <c r="R7" s="275"/>
      <c r="S7" s="168"/>
    </row>
    <row r="8" spans="1:19" x14ac:dyDescent="0.25">
      <c r="A8" s="135">
        <v>3</v>
      </c>
      <c r="B8" s="275" t="s">
        <v>300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 t="str">
        <f>IF(H8="","",(VLOOKUP(H8,'Reference List'!$B$3:$F$202,5,FALSE)))</f>
        <v/>
      </c>
      <c r="K8" s="275"/>
      <c r="L8" s="275"/>
      <c r="M8" s="275"/>
      <c r="N8" s="275"/>
      <c r="O8" s="275"/>
      <c r="P8" s="277"/>
      <c r="Q8" s="277"/>
      <c r="R8" s="275"/>
      <c r="S8" s="168"/>
    </row>
    <row r="9" spans="1:19" x14ac:dyDescent="0.25">
      <c r="A9" s="135">
        <v>4</v>
      </c>
      <c r="B9" s="275" t="s">
        <v>301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 t="str">
        <f>IF(H9="","",(VLOOKUP(H9,'Reference List'!$B$3:$F$202,5,FALSE)))</f>
        <v/>
      </c>
      <c r="K9" s="275"/>
      <c r="L9" s="275"/>
      <c r="M9" s="275"/>
      <c r="N9" s="275"/>
      <c r="O9" s="275"/>
      <c r="P9" s="277"/>
      <c r="Q9" s="277"/>
      <c r="R9" s="275"/>
      <c r="S9" s="168"/>
    </row>
    <row r="10" spans="1:19" x14ac:dyDescent="0.25">
      <c r="A10" s="124">
        <v>5</v>
      </c>
      <c r="B10" s="275" t="s">
        <v>302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 t="str">
        <f>IF(H10="","",(VLOOKUP(H10,'Reference List'!$B$3:$F$202,5,FALSE)))</f>
        <v/>
      </c>
      <c r="K10" s="275"/>
      <c r="L10" s="275"/>
      <c r="M10" s="275"/>
      <c r="N10" s="275"/>
      <c r="O10" s="275"/>
      <c r="P10" s="275"/>
      <c r="Q10" s="275"/>
      <c r="R10" s="275"/>
      <c r="S10" s="168"/>
    </row>
    <row r="11" spans="1:19" x14ac:dyDescent="0.25">
      <c r="A11" s="124">
        <v>6</v>
      </c>
      <c r="B11" s="275" t="s">
        <v>303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 t="str">
        <f>IF(H11="","",(VLOOKUP(H11,'Reference List'!$B$3:$F$202,5,FALSE)))</f>
        <v/>
      </c>
      <c r="K11" s="275"/>
      <c r="L11" s="275"/>
      <c r="M11" s="275"/>
      <c r="N11" s="275"/>
      <c r="O11" s="275"/>
      <c r="P11" s="277"/>
      <c r="Q11" s="277"/>
      <c r="R11" s="275"/>
      <c r="S11" s="168"/>
    </row>
    <row r="12" spans="1:19" x14ac:dyDescent="0.25">
      <c r="A12" s="135">
        <v>7</v>
      </c>
      <c r="B12" s="275" t="s">
        <v>304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 t="str">
        <f>IF(H12="","",(VLOOKUP(H12,'Reference List'!$B$3:$F$202,5,FALSE)))</f>
        <v/>
      </c>
      <c r="K12" s="275"/>
      <c r="L12" s="275"/>
      <c r="M12" s="275"/>
      <c r="N12" s="275"/>
      <c r="O12" s="275"/>
      <c r="P12" s="277"/>
      <c r="Q12" s="277"/>
      <c r="R12" s="275"/>
      <c r="S12" s="168"/>
    </row>
    <row r="13" spans="1:19" x14ac:dyDescent="0.25">
      <c r="A13" s="135">
        <v>8</v>
      </c>
      <c r="B13" s="275" t="s">
        <v>305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 t="str">
        <f>IF(H13="","",(VLOOKUP(H13,'Reference List'!$B$3:$F$202,5,FALSE)))</f>
        <v/>
      </c>
      <c r="K13" s="275"/>
      <c r="L13" s="275"/>
      <c r="M13" s="275"/>
      <c r="N13" s="275"/>
      <c r="O13" s="275"/>
      <c r="P13" s="277"/>
      <c r="Q13" s="277"/>
      <c r="R13" s="275"/>
      <c r="S13" s="168"/>
    </row>
    <row r="14" spans="1:19" x14ac:dyDescent="0.25">
      <c r="A14" s="124">
        <v>9</v>
      </c>
      <c r="B14" s="275" t="s">
        <v>306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 t="str">
        <f>IF(H14="","",(VLOOKUP(H14,'Reference List'!$B$3:$F$202,5,FALSE)))</f>
        <v/>
      </c>
      <c r="K14" s="275"/>
      <c r="L14" s="275"/>
      <c r="M14" s="275"/>
      <c r="N14" s="275"/>
      <c r="O14" s="275"/>
      <c r="P14" s="277"/>
      <c r="Q14" s="277"/>
      <c r="R14" s="275"/>
      <c r="S14" s="168"/>
    </row>
    <row r="15" spans="1:19" x14ac:dyDescent="0.25">
      <c r="A15" s="124">
        <v>10</v>
      </c>
      <c r="B15" s="275" t="s">
        <v>307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 t="str">
        <f>IF(H15="","",(VLOOKUP(H15,'Reference List'!$B$3:$F$202,5,FALSE)))</f>
        <v/>
      </c>
      <c r="K15" s="275"/>
      <c r="L15" s="275"/>
      <c r="M15" s="275"/>
      <c r="N15" s="275"/>
      <c r="O15" s="275"/>
      <c r="P15" s="277"/>
      <c r="Q15" s="277"/>
      <c r="R15" s="275"/>
      <c r="S15" s="168"/>
    </row>
    <row r="16" spans="1:19" x14ac:dyDescent="0.25">
      <c r="A16" s="135">
        <v>11</v>
      </c>
      <c r="B16" s="275" t="s">
        <v>308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 t="str">
        <f>IF(H16="","",(VLOOKUP(H16,'Reference List'!$B$3:$F$202,5,FALSE)))</f>
        <v/>
      </c>
      <c r="K16" s="275"/>
      <c r="L16" s="275"/>
      <c r="M16" s="275"/>
      <c r="N16" s="275"/>
      <c r="O16" s="275"/>
      <c r="P16" s="275"/>
      <c r="Q16" s="275"/>
      <c r="R16" s="275"/>
      <c r="S16" s="168"/>
    </row>
    <row r="17" spans="1:19" x14ac:dyDescent="0.25">
      <c r="A17" s="135">
        <v>12</v>
      </c>
      <c r="B17" s="275" t="s">
        <v>309</v>
      </c>
      <c r="C17" s="279" t="e">
        <f t="shared" si="0"/>
        <v>#VALUE!</v>
      </c>
      <c r="D17" s="275"/>
      <c r="E17" s="275"/>
      <c r="F17" s="275"/>
      <c r="G17" s="275"/>
      <c r="H17" s="275"/>
      <c r="I17" s="275" t="str">
        <f>IF(H17="","",(VLOOKUP(H17,'Reference List'!$B$3:$D$173,2,FALSE)))</f>
        <v/>
      </c>
      <c r="J17" s="276" t="str">
        <f>IF(H17="","",(VLOOKUP(H17,'Reference List'!$B$3:$F$202,5,FALSE)))</f>
        <v/>
      </c>
      <c r="K17" s="275"/>
      <c r="L17" s="275"/>
      <c r="M17" s="275"/>
      <c r="N17" s="275"/>
      <c r="O17" s="275"/>
      <c r="P17" s="275"/>
      <c r="Q17" s="275"/>
      <c r="R17" s="275"/>
      <c r="S17" s="168"/>
    </row>
    <row r="18" spans="1:19" ht="15.75" thickBot="1" x14ac:dyDescent="0.3">
      <c r="A18" s="124">
        <v>13</v>
      </c>
      <c r="B18" s="275" t="s">
        <v>310</v>
      </c>
      <c r="C18" s="279" t="e">
        <f t="shared" si="0"/>
        <v>#VALUE!</v>
      </c>
      <c r="D18" s="275"/>
      <c r="E18" s="275"/>
      <c r="F18" s="275"/>
      <c r="G18" s="275"/>
      <c r="H18" s="275"/>
      <c r="I18" s="275"/>
      <c r="J18" s="276" t="str">
        <f>IF(H18="","",(VLOOKUP(H18,'Reference List'!$B$3:$F$202,5,FALSE)))</f>
        <v/>
      </c>
      <c r="K18" s="275"/>
      <c r="L18" s="275"/>
      <c r="M18" s="275"/>
      <c r="N18" s="275"/>
      <c r="O18" s="275"/>
      <c r="P18" s="275"/>
      <c r="Q18" s="275"/>
      <c r="R18" s="275"/>
      <c r="S18" s="168"/>
    </row>
    <row r="19" spans="1:19" ht="15.75" thickBot="1" x14ac:dyDescent="0.3">
      <c r="A19" s="185"/>
      <c r="B19" s="194"/>
      <c r="C19" s="194"/>
      <c r="D19" s="195"/>
      <c r="E19" s="196"/>
      <c r="F19" s="187"/>
      <c r="G19" s="187"/>
      <c r="H19" s="187"/>
      <c r="I19" s="188"/>
      <c r="J19" s="187"/>
      <c r="K19" s="187"/>
      <c r="L19" s="187"/>
      <c r="M19" s="187"/>
      <c r="N19" s="187"/>
      <c r="O19" s="187"/>
      <c r="P19" s="187"/>
      <c r="Q19" s="187"/>
      <c r="R19" s="188"/>
      <c r="S19" s="189"/>
    </row>
    <row r="20" spans="1:19" ht="23.25" customHeight="1" thickBot="1" x14ac:dyDescent="0.3">
      <c r="A20" s="143"/>
      <c r="B20" s="144"/>
      <c r="C20" s="145"/>
      <c r="D20" s="146"/>
      <c r="E20" s="146"/>
      <c r="F20" s="147"/>
      <c r="G20" s="148"/>
      <c r="H20" s="331" t="s">
        <v>486</v>
      </c>
      <c r="I20" s="332"/>
      <c r="J20" s="149"/>
      <c r="K20" s="146"/>
      <c r="L20" s="146"/>
      <c r="M20" s="146"/>
      <c r="N20" s="146"/>
      <c r="O20" s="146"/>
      <c r="P20" s="146"/>
      <c r="Q20" s="146"/>
      <c r="R20" s="150"/>
      <c r="S20" s="172" t="s">
        <v>52</v>
      </c>
    </row>
    <row r="21" spans="1:19" ht="27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35">
        <v>19</v>
      </c>
      <c r="B22" s="275" t="s">
        <v>311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5"/>
      <c r="R22" s="275"/>
      <c r="S22" s="169"/>
    </row>
    <row r="23" spans="1:19" x14ac:dyDescent="0.25">
      <c r="A23" s="135">
        <v>20</v>
      </c>
      <c r="B23" s="275" t="s">
        <v>312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77"/>
      <c r="Q23" s="277"/>
      <c r="R23" s="275"/>
      <c r="S23" s="168"/>
    </row>
    <row r="24" spans="1:19" x14ac:dyDescent="0.25">
      <c r="A24" s="124">
        <v>21</v>
      </c>
      <c r="B24" s="275" t="s">
        <v>313</v>
      </c>
      <c r="C24" s="279" t="e">
        <f t="shared" si="1"/>
        <v>#VALUE!</v>
      </c>
      <c r="D24" s="275"/>
      <c r="E24" s="275"/>
      <c r="F24" s="275"/>
      <c r="G24" s="275"/>
      <c r="H24" s="275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5"/>
      <c r="R24" s="275"/>
      <c r="S24" s="168"/>
    </row>
    <row r="25" spans="1:19" x14ac:dyDescent="0.25">
      <c r="A25" s="124">
        <v>22</v>
      </c>
      <c r="B25" s="275" t="s">
        <v>314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7"/>
      <c r="Q25" s="275"/>
      <c r="R25" s="275"/>
      <c r="S25" s="169"/>
    </row>
    <row r="26" spans="1:19" x14ac:dyDescent="0.25">
      <c r="A26" s="135">
        <v>23</v>
      </c>
      <c r="B26" s="275" t="s">
        <v>315</v>
      </c>
      <c r="C26" s="279" t="e">
        <f t="shared" si="1"/>
        <v>#VALUE!</v>
      </c>
      <c r="D26" s="275"/>
      <c r="E26" s="275"/>
      <c r="F26" s="275"/>
      <c r="G26" s="275"/>
      <c r="H26" s="275"/>
      <c r="I26" s="275" t="str">
        <f>IF(H26="","",(VLOOKUP(H26,'Reference List'!$B$3:$D$173,2,FALSE)))</f>
        <v/>
      </c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7"/>
      <c r="Q26" s="275"/>
      <c r="R26" s="275"/>
      <c r="S26" s="169"/>
    </row>
    <row r="27" spans="1:19" x14ac:dyDescent="0.25">
      <c r="A27" s="124">
        <v>24</v>
      </c>
      <c r="B27" s="275" t="s">
        <v>316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7"/>
      <c r="Q27" s="275"/>
      <c r="R27" s="275"/>
      <c r="S27" s="169"/>
    </row>
    <row r="28" spans="1:19" x14ac:dyDescent="0.25">
      <c r="A28" s="124">
        <v>25</v>
      </c>
      <c r="B28" s="275" t="s">
        <v>317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7"/>
      <c r="Q28" s="275"/>
      <c r="R28" s="275"/>
      <c r="S28" s="169"/>
    </row>
    <row r="29" spans="1:19" x14ac:dyDescent="0.25">
      <c r="A29" s="135">
        <v>26</v>
      </c>
      <c r="B29" s="275" t="s">
        <v>318</v>
      </c>
      <c r="C29" s="279" t="e">
        <f t="shared" si="1"/>
        <v>#VALUE!</v>
      </c>
      <c r="D29" s="275"/>
      <c r="E29" s="275"/>
      <c r="F29" s="275"/>
      <c r="G29" s="275"/>
      <c r="H29" s="275"/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7"/>
      <c r="Q29" s="275"/>
      <c r="R29" s="275"/>
      <c r="S29" s="169"/>
    </row>
    <row r="30" spans="1:19" x14ac:dyDescent="0.25">
      <c r="A30" s="124">
        <v>27</v>
      </c>
      <c r="B30" s="275" t="s">
        <v>319</v>
      </c>
      <c r="C30" s="279" t="e">
        <f t="shared" si="1"/>
        <v>#VALUE!</v>
      </c>
      <c r="D30" s="275"/>
      <c r="E30" s="275"/>
      <c r="F30" s="275"/>
      <c r="G30" s="275"/>
      <c r="H30" s="275"/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7"/>
      <c r="Q30" s="275"/>
      <c r="R30" s="275"/>
      <c r="S30" s="169"/>
    </row>
    <row r="31" spans="1:19" x14ac:dyDescent="0.25">
      <c r="A31" s="124">
        <v>28</v>
      </c>
      <c r="B31" s="275" t="s">
        <v>320</v>
      </c>
      <c r="C31" s="279" t="e">
        <f t="shared" si="1"/>
        <v>#VALUE!</v>
      </c>
      <c r="D31" s="275"/>
      <c r="E31" s="275"/>
      <c r="F31" s="275"/>
      <c r="G31" s="275"/>
      <c r="H31" s="275"/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7"/>
      <c r="Q31" s="275"/>
      <c r="R31" s="275"/>
      <c r="S31" s="169"/>
    </row>
    <row r="32" spans="1:19" x14ac:dyDescent="0.25">
      <c r="A32" s="135">
        <v>29</v>
      </c>
      <c r="B32" s="275" t="s">
        <v>321</v>
      </c>
      <c r="C32" s="279" t="e">
        <f t="shared" si="1"/>
        <v>#VALUE!</v>
      </c>
      <c r="D32" s="275"/>
      <c r="E32" s="275"/>
      <c r="F32" s="275"/>
      <c r="G32" s="275"/>
      <c r="H32" s="275"/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7"/>
      <c r="Q32" s="275"/>
      <c r="R32" s="275"/>
      <c r="S32" s="169"/>
    </row>
    <row r="33" spans="1:19" x14ac:dyDescent="0.25">
      <c r="A33" s="124">
        <v>30</v>
      </c>
      <c r="B33" s="275" t="s">
        <v>322</v>
      </c>
      <c r="C33" s="279" t="e">
        <f t="shared" si="1"/>
        <v>#VALUE!</v>
      </c>
      <c r="D33" s="275"/>
      <c r="E33" s="275"/>
      <c r="F33" s="275"/>
      <c r="G33" s="275"/>
      <c r="H33" s="275"/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81"/>
      <c r="Q33" s="275"/>
      <c r="R33" s="275"/>
      <c r="S33" s="168"/>
    </row>
    <row r="34" spans="1:19" x14ac:dyDescent="0.25">
      <c r="A34" s="124">
        <v>31</v>
      </c>
      <c r="B34" s="275" t="s">
        <v>323</v>
      </c>
      <c r="C34" s="279" t="e">
        <f t="shared" si="1"/>
        <v>#VALUE!</v>
      </c>
      <c r="D34" s="275"/>
      <c r="E34" s="275"/>
      <c r="F34" s="275"/>
      <c r="G34" s="275"/>
      <c r="H34" s="275"/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7"/>
      <c r="Q34" s="275"/>
      <c r="R34" s="275"/>
      <c r="S34" s="168"/>
    </row>
    <row r="35" spans="1:19" x14ac:dyDescent="0.25">
      <c r="A35" s="135">
        <v>32</v>
      </c>
      <c r="B35" s="275" t="s">
        <v>324</v>
      </c>
      <c r="C35" s="279" t="e">
        <f t="shared" si="1"/>
        <v>#VALUE!</v>
      </c>
      <c r="D35" s="275"/>
      <c r="E35" s="275"/>
      <c r="F35" s="275"/>
      <c r="G35" s="275"/>
      <c r="H35" s="275"/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7"/>
      <c r="Q35" s="275"/>
      <c r="R35" s="275"/>
      <c r="S35" s="168"/>
    </row>
    <row r="36" spans="1:19" x14ac:dyDescent="0.25">
      <c r="A36" s="124">
        <v>33</v>
      </c>
      <c r="B36" s="275" t="s">
        <v>325</v>
      </c>
      <c r="C36" s="279" t="e">
        <f t="shared" si="1"/>
        <v>#VALUE!</v>
      </c>
      <c r="D36" s="275"/>
      <c r="E36" s="275"/>
      <c r="F36" s="275"/>
      <c r="G36" s="275"/>
      <c r="H36" s="275"/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81"/>
      <c r="Q36" s="275"/>
      <c r="R36" s="275"/>
      <c r="S36" s="168"/>
    </row>
    <row r="37" spans="1:19" x14ac:dyDescent="0.25">
      <c r="A37" s="124">
        <v>34</v>
      </c>
      <c r="B37" s="275" t="s">
        <v>326</v>
      </c>
      <c r="C37" s="279" t="e">
        <f t="shared" si="1"/>
        <v>#VALUE!</v>
      </c>
      <c r="D37" s="275"/>
      <c r="E37" s="275"/>
      <c r="F37" s="275"/>
      <c r="G37" s="275"/>
      <c r="H37" s="275"/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7"/>
      <c r="Q37" s="275"/>
      <c r="R37" s="275"/>
      <c r="S37" s="168"/>
    </row>
    <row r="38" spans="1:19" ht="15" customHeight="1" x14ac:dyDescent="0.25">
      <c r="A38" s="135">
        <v>35</v>
      </c>
      <c r="B38" s="275" t="s">
        <v>327</v>
      </c>
      <c r="C38" s="279" t="e">
        <f t="shared" si="1"/>
        <v>#VALUE!</v>
      </c>
      <c r="D38" s="275"/>
      <c r="E38" s="275"/>
      <c r="F38" s="275"/>
      <c r="G38" s="275"/>
      <c r="H38" s="275"/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7"/>
      <c r="Q38" s="275"/>
      <c r="R38" s="275"/>
      <c r="S38" s="169"/>
    </row>
    <row r="39" spans="1:19" x14ac:dyDescent="0.25">
      <c r="A39" s="124">
        <v>36</v>
      </c>
      <c r="B39" s="275" t="s">
        <v>328</v>
      </c>
      <c r="C39" s="279" t="e">
        <f t="shared" si="1"/>
        <v>#VALUE!</v>
      </c>
      <c r="D39" s="275"/>
      <c r="E39" s="275"/>
      <c r="F39" s="275"/>
      <c r="G39" s="275"/>
      <c r="H39" s="275"/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7"/>
      <c r="Q39" s="275"/>
      <c r="R39" s="275"/>
      <c r="S39" s="169"/>
    </row>
    <row r="40" spans="1:19" x14ac:dyDescent="0.25">
      <c r="A40" s="124">
        <v>37</v>
      </c>
      <c r="B40" s="275" t="s">
        <v>329</v>
      </c>
      <c r="C40" s="279" t="e">
        <f t="shared" si="1"/>
        <v>#VALUE!</v>
      </c>
      <c r="D40" s="275"/>
      <c r="E40" s="275"/>
      <c r="F40" s="275"/>
      <c r="G40" s="275"/>
      <c r="H40" s="275"/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7"/>
      <c r="Q40" s="275"/>
      <c r="R40" s="275"/>
      <c r="S40" s="169"/>
    </row>
    <row r="41" spans="1:19" x14ac:dyDescent="0.25">
      <c r="A41" s="135">
        <v>38</v>
      </c>
      <c r="B41" s="275" t="s">
        <v>330</v>
      </c>
      <c r="C41" s="279" t="e">
        <f t="shared" si="1"/>
        <v>#VALUE!</v>
      </c>
      <c r="D41" s="275"/>
      <c r="E41" s="275"/>
      <c r="F41" s="275"/>
      <c r="G41" s="275"/>
      <c r="H41" s="275"/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7"/>
      <c r="Q41" s="277"/>
      <c r="R41" s="275"/>
      <c r="S41" s="169"/>
    </row>
    <row r="42" spans="1:19" x14ac:dyDescent="0.25">
      <c r="A42" s="124">
        <v>39</v>
      </c>
      <c r="B42" s="275" t="s">
        <v>331</v>
      </c>
      <c r="C42" s="279" t="e">
        <f t="shared" si="1"/>
        <v>#VALUE!</v>
      </c>
      <c r="D42" s="275"/>
      <c r="E42" s="275"/>
      <c r="F42" s="275"/>
      <c r="G42" s="275"/>
      <c r="H42" s="275"/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7"/>
      <c r="Q42" s="275"/>
      <c r="R42" s="275"/>
      <c r="S42" s="169"/>
    </row>
    <row r="43" spans="1:19" x14ac:dyDescent="0.25">
      <c r="A43" s="124">
        <v>40</v>
      </c>
      <c r="B43" s="275" t="s">
        <v>332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7"/>
      <c r="Q43" s="275"/>
      <c r="R43" s="275"/>
      <c r="S43" s="169"/>
    </row>
    <row r="44" spans="1:19" x14ac:dyDescent="0.25">
      <c r="A44" s="135">
        <v>41</v>
      </c>
      <c r="B44" s="275" t="s">
        <v>333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7"/>
      <c r="Q44" s="275"/>
      <c r="R44" s="275"/>
      <c r="S44" s="169"/>
    </row>
    <row r="45" spans="1:19" x14ac:dyDescent="0.25">
      <c r="A45" s="124">
        <v>42</v>
      </c>
      <c r="B45" s="275" t="s">
        <v>334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7"/>
      <c r="Q45" s="275"/>
      <c r="R45" s="275"/>
      <c r="S45" s="169"/>
    </row>
    <row r="46" spans="1:19" x14ac:dyDescent="0.25">
      <c r="A46" s="124">
        <v>43</v>
      </c>
      <c r="B46" s="275" t="s">
        <v>335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7"/>
      <c r="Q46" s="275"/>
      <c r="R46" s="275"/>
      <c r="S46" s="169"/>
    </row>
    <row r="47" spans="1:19" x14ac:dyDescent="0.25">
      <c r="A47" s="135">
        <v>44</v>
      </c>
      <c r="B47" s="275" t="s">
        <v>336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8"/>
    </row>
    <row r="48" spans="1:19" ht="15" customHeight="1" x14ac:dyDescent="0.25">
      <c r="A48" s="124">
        <v>45</v>
      </c>
      <c r="B48" s="275" t="s">
        <v>337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8"/>
    </row>
    <row r="49" spans="1:19" x14ac:dyDescent="0.25">
      <c r="A49" s="124">
        <v>46</v>
      </c>
      <c r="B49" s="275" t="s">
        <v>338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8"/>
    </row>
    <row r="50" spans="1:19" x14ac:dyDescent="0.25">
      <c r="A50" s="135">
        <v>47</v>
      </c>
      <c r="B50" s="275" t="s">
        <v>339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8"/>
    </row>
    <row r="51" spans="1:19" x14ac:dyDescent="0.25">
      <c r="A51" s="124">
        <v>48</v>
      </c>
      <c r="B51" s="275" t="s">
        <v>340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8"/>
    </row>
    <row r="52" spans="1:19" x14ac:dyDescent="0.25">
      <c r="A52" s="124">
        <v>49</v>
      </c>
      <c r="B52" s="275" t="s">
        <v>341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8"/>
    </row>
    <row r="53" spans="1:19" x14ac:dyDescent="0.25">
      <c r="A53" s="135">
        <v>50</v>
      </c>
      <c r="B53" s="275" t="s">
        <v>342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8"/>
    </row>
    <row r="54" spans="1:19" x14ac:dyDescent="0.25">
      <c r="A54" s="124">
        <v>51</v>
      </c>
      <c r="B54" s="275" t="s">
        <v>343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8"/>
    </row>
    <row r="55" spans="1:19" x14ac:dyDescent="0.25">
      <c r="A55" s="124">
        <v>52</v>
      </c>
      <c r="B55" s="275" t="s">
        <v>344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8"/>
    </row>
    <row r="56" spans="1:19" x14ac:dyDescent="0.25">
      <c r="A56" s="135">
        <v>53</v>
      </c>
      <c r="B56" s="275" t="s">
        <v>345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8"/>
    </row>
    <row r="57" spans="1:19" x14ac:dyDescent="0.25">
      <c r="A57" s="124">
        <v>54</v>
      </c>
      <c r="B57" s="275" t="s">
        <v>346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68"/>
    </row>
    <row r="58" spans="1:19" x14ac:dyDescent="0.25">
      <c r="A58" s="124">
        <v>55</v>
      </c>
      <c r="B58" s="275" t="s">
        <v>347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68"/>
    </row>
    <row r="59" spans="1:19" x14ac:dyDescent="0.25">
      <c r="A59" s="135">
        <v>56</v>
      </c>
      <c r="B59" s="275" t="s">
        <v>348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68"/>
    </row>
    <row r="60" spans="1:19" x14ac:dyDescent="0.25">
      <c r="A60" s="124">
        <v>57</v>
      </c>
      <c r="B60" s="275" t="s">
        <v>349</v>
      </c>
      <c r="C60" s="279" t="e">
        <f t="shared" si="1"/>
        <v>#VALUE!</v>
      </c>
      <c r="D60" s="275"/>
      <c r="E60" s="275"/>
      <c r="F60" s="275"/>
      <c r="G60" s="275"/>
      <c r="H60" s="275"/>
      <c r="I60" s="275" t="str">
        <f>IF(H60="","",(VLOOKUP(H60,'Reference List'!$B$3:$D$173,2,FALSE)))</f>
        <v/>
      </c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68"/>
    </row>
    <row r="61" spans="1:19" x14ac:dyDescent="0.25">
      <c r="A61" s="124">
        <v>58</v>
      </c>
      <c r="B61" s="275" t="s">
        <v>350</v>
      </c>
      <c r="C61" s="279" t="e">
        <f t="shared" si="1"/>
        <v>#VALUE!</v>
      </c>
      <c r="D61" s="275"/>
      <c r="E61" s="275"/>
      <c r="F61" s="275"/>
      <c r="G61" s="275"/>
      <c r="H61" s="275"/>
      <c r="I61" s="275" t="str">
        <f>IF(H61="","",(VLOOKUP(H61,'Reference List'!$B$3:$D$173,2,FALSE)))</f>
        <v/>
      </c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68"/>
    </row>
    <row r="62" spans="1:19" x14ac:dyDescent="0.25">
      <c r="A62" s="135">
        <v>59</v>
      </c>
      <c r="B62" s="275" t="s">
        <v>351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68"/>
    </row>
    <row r="63" spans="1:19" x14ac:dyDescent="0.25">
      <c r="A63" s="124">
        <v>60</v>
      </c>
      <c r="B63" s="275" t="s">
        <v>352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 t="str">
        <f>IF(H63="","",(VLOOKUP(H63,'Reference List'!$B$3:$F$202,5,FALSE)))</f>
        <v/>
      </c>
      <c r="K63" s="275"/>
      <c r="L63" s="275"/>
      <c r="M63" s="275"/>
      <c r="N63" s="275"/>
      <c r="O63" s="275"/>
      <c r="P63" s="275"/>
      <c r="Q63" s="275"/>
      <c r="R63" s="275"/>
      <c r="S63" s="168"/>
    </row>
    <row r="64" spans="1:19" x14ac:dyDescent="0.25">
      <c r="A64" s="124">
        <v>61</v>
      </c>
      <c r="B64" s="275" t="s">
        <v>353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 t="str">
        <f>IF(H64="","",(VLOOKUP(H64,'Reference List'!$B$3:$F$202,5,FALSE)))</f>
        <v/>
      </c>
      <c r="K64" s="275"/>
      <c r="L64" s="275"/>
      <c r="M64" s="275"/>
      <c r="N64" s="275"/>
      <c r="O64" s="275"/>
      <c r="P64" s="275"/>
      <c r="Q64" s="275"/>
      <c r="R64" s="275"/>
      <c r="S64" s="168"/>
    </row>
    <row r="65" spans="1:19" x14ac:dyDescent="0.25">
      <c r="A65" s="135">
        <v>62</v>
      </c>
      <c r="B65" s="275" t="s">
        <v>354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 t="str">
        <f>IF(H65="","",(VLOOKUP(H65,'Reference List'!$B$3:$F$202,5,FALSE)))</f>
        <v/>
      </c>
      <c r="K65" s="275"/>
      <c r="L65" s="275"/>
      <c r="M65" s="275"/>
      <c r="N65" s="275"/>
      <c r="O65" s="275"/>
      <c r="P65" s="275"/>
      <c r="Q65" s="275"/>
      <c r="R65" s="275"/>
      <c r="S65" s="168"/>
    </row>
    <row r="66" spans="1:19" x14ac:dyDescent="0.25">
      <c r="A66" s="124">
        <v>63</v>
      </c>
      <c r="B66" s="275" t="s">
        <v>355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 t="str">
        <f>IF(H66="","",(VLOOKUP(H66,'Reference List'!$B$3:$F$202,5,FALSE)))</f>
        <v/>
      </c>
      <c r="K66" s="275"/>
      <c r="L66" s="275"/>
      <c r="M66" s="275"/>
      <c r="N66" s="275"/>
      <c r="O66" s="275"/>
      <c r="P66" s="275"/>
      <c r="Q66" s="275"/>
      <c r="R66" s="275"/>
      <c r="S66" s="168"/>
    </row>
    <row r="67" spans="1:19" x14ac:dyDescent="0.25">
      <c r="A67" s="124">
        <v>64</v>
      </c>
      <c r="B67" s="275" t="s">
        <v>356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 t="str">
        <f>IF(H67="","",(VLOOKUP(H67,'Reference List'!$B$3:$F$202,5,FALSE)))</f>
        <v/>
      </c>
      <c r="K67" s="275"/>
      <c r="L67" s="275"/>
      <c r="M67" s="275"/>
      <c r="N67" s="275"/>
      <c r="O67" s="275"/>
      <c r="P67" s="275"/>
      <c r="Q67" s="275"/>
      <c r="R67" s="275"/>
      <c r="S67" s="168"/>
    </row>
    <row r="68" spans="1:19" x14ac:dyDescent="0.25">
      <c r="A68" s="135">
        <v>65</v>
      </c>
      <c r="B68" s="275" t="s">
        <v>357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 t="str">
        <f>IF(H68="","",(VLOOKUP(H68,'Reference List'!$B$3:$F$202,5,FALSE)))</f>
        <v/>
      </c>
      <c r="K68" s="275"/>
      <c r="L68" s="275"/>
      <c r="M68" s="275"/>
      <c r="N68" s="275"/>
      <c r="O68" s="275"/>
      <c r="P68" s="275"/>
      <c r="Q68" s="275"/>
      <c r="R68" s="275"/>
      <c r="S68" s="168"/>
    </row>
    <row r="69" spans="1:19" x14ac:dyDescent="0.25">
      <c r="A69" s="124">
        <v>66</v>
      </c>
      <c r="B69" s="275" t="s">
        <v>358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 t="str">
        <f>IF(H69="","",(VLOOKUP(H69,'Reference List'!$B$3:$F$202,5,FALSE)))</f>
        <v/>
      </c>
      <c r="K69" s="275"/>
      <c r="L69" s="275"/>
      <c r="M69" s="275"/>
      <c r="N69" s="275"/>
      <c r="O69" s="275"/>
      <c r="P69" s="275"/>
      <c r="Q69" s="275"/>
      <c r="R69" s="275"/>
      <c r="S69" s="124"/>
    </row>
    <row r="70" spans="1:19" x14ac:dyDescent="0.25">
      <c r="A70" s="124">
        <v>67</v>
      </c>
      <c r="B70" s="275" t="s">
        <v>359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 t="str">
        <f>IF(H70="","",(VLOOKUP(H70,'Reference List'!$B$3:$F$202,5,FALSE)))</f>
        <v/>
      </c>
      <c r="K70" s="275"/>
      <c r="L70" s="275"/>
      <c r="M70" s="275"/>
      <c r="N70" s="275"/>
      <c r="O70" s="275"/>
      <c r="P70" s="275"/>
      <c r="Q70" s="275"/>
      <c r="R70" s="275"/>
      <c r="S70" s="124"/>
    </row>
    <row r="71" spans="1:19" x14ac:dyDescent="0.25">
      <c r="A71" s="135">
        <v>68</v>
      </c>
      <c r="B71" s="275" t="s">
        <v>360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 t="str">
        <f>IF(H71="","",(VLOOKUP(H71,'Reference List'!$B$3:$F$202,5,FALSE)))</f>
        <v/>
      </c>
      <c r="K71" s="275"/>
      <c r="L71" s="275"/>
      <c r="M71" s="275"/>
      <c r="N71" s="275"/>
      <c r="O71" s="275"/>
      <c r="P71" s="275"/>
      <c r="Q71" s="275"/>
      <c r="R71" s="275"/>
      <c r="S71" s="124"/>
    </row>
    <row r="72" spans="1:19" x14ac:dyDescent="0.25">
      <c r="A72" s="124">
        <v>69</v>
      </c>
      <c r="B72" s="275" t="s">
        <v>361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 t="str">
        <f>IF(H72="","",(VLOOKUP(H72,'Reference List'!$B$3:$F$202,5,FALSE)))</f>
        <v/>
      </c>
      <c r="K72" s="275"/>
      <c r="L72" s="275"/>
      <c r="M72" s="275"/>
      <c r="N72" s="275"/>
      <c r="O72" s="275"/>
      <c r="P72" s="275"/>
      <c r="Q72" s="275"/>
      <c r="R72" s="275"/>
      <c r="S72" s="124"/>
    </row>
    <row r="73" spans="1:19" x14ac:dyDescent="0.25">
      <c r="A73" s="124">
        <v>70</v>
      </c>
      <c r="B73" s="275" t="s">
        <v>362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 t="str">
        <f>IF(H73="","",(VLOOKUP(H73,'Reference List'!$B$3:$F$202,5,FALSE)))</f>
        <v/>
      </c>
      <c r="K73" s="275"/>
      <c r="L73" s="275"/>
      <c r="M73" s="275"/>
      <c r="N73" s="275"/>
      <c r="O73" s="275"/>
      <c r="P73" s="275"/>
      <c r="Q73" s="275"/>
      <c r="R73" s="275"/>
      <c r="S73" s="124"/>
    </row>
    <row r="74" spans="1:19" x14ac:dyDescent="0.25">
      <c r="A74" s="135">
        <v>71</v>
      </c>
      <c r="B74" s="275" t="s">
        <v>363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 t="str">
        <f>IF(H74="","",(VLOOKUP(H74,'Reference List'!$B$3:$F$202,5,FALSE)))</f>
        <v/>
      </c>
      <c r="K74" s="275"/>
      <c r="L74" s="275"/>
      <c r="M74" s="275"/>
      <c r="N74" s="275"/>
      <c r="O74" s="275"/>
      <c r="P74" s="275"/>
      <c r="Q74" s="275"/>
      <c r="R74" s="275"/>
      <c r="S74" s="124"/>
    </row>
    <row r="75" spans="1:19" x14ac:dyDescent="0.25">
      <c r="A75" s="124">
        <v>72</v>
      </c>
      <c r="B75" s="275" t="s">
        <v>364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 t="str">
        <f>IF(H75="","",(VLOOKUP(H75,'Reference List'!$B$3:$F$202,5,FALSE)))</f>
        <v/>
      </c>
      <c r="K75" s="275"/>
      <c r="L75" s="275"/>
      <c r="M75" s="275"/>
      <c r="N75" s="275"/>
      <c r="O75" s="275"/>
      <c r="P75" s="275"/>
      <c r="Q75" s="275"/>
      <c r="R75" s="275"/>
      <c r="S75" s="124"/>
    </row>
    <row r="76" spans="1:19" x14ac:dyDescent="0.25">
      <c r="A76" s="124">
        <v>73</v>
      </c>
      <c r="B76" s="275" t="s">
        <v>365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 t="str">
        <f>IF(H76="","",(VLOOKUP(H76,'Reference List'!$B$3:$F$202,5,FALSE)))</f>
        <v/>
      </c>
      <c r="K76" s="275"/>
      <c r="L76" s="275"/>
      <c r="M76" s="275"/>
      <c r="N76" s="275"/>
      <c r="O76" s="275"/>
      <c r="P76" s="275"/>
      <c r="Q76" s="275"/>
      <c r="R76" s="275"/>
      <c r="S76" s="124"/>
    </row>
    <row r="77" spans="1:19" x14ac:dyDescent="0.25">
      <c r="A77" s="135">
        <v>74</v>
      </c>
      <c r="B77" s="275" t="s">
        <v>366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 t="str">
        <f>IF(H77="","",(VLOOKUP(H77,'Reference List'!$B$3:$F$202,5,FALSE)))</f>
        <v/>
      </c>
      <c r="K77" s="275"/>
      <c r="L77" s="275"/>
      <c r="M77" s="275"/>
      <c r="N77" s="275"/>
      <c r="O77" s="275"/>
      <c r="P77" s="275"/>
      <c r="Q77" s="275"/>
      <c r="R77" s="275"/>
      <c r="S77" s="124"/>
    </row>
    <row r="78" spans="1:19" x14ac:dyDescent="0.25">
      <c r="A78" s="124">
        <v>75</v>
      </c>
      <c r="B78" s="275" t="s">
        <v>367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 t="str">
        <f>IF(H78="","",(VLOOKUP(H78,'Reference List'!$B$3:$F$202,5,FALSE)))</f>
        <v/>
      </c>
      <c r="K78" s="275"/>
      <c r="L78" s="275"/>
      <c r="M78" s="275"/>
      <c r="N78" s="275"/>
      <c r="O78" s="275"/>
      <c r="P78" s="275"/>
      <c r="Q78" s="275"/>
      <c r="R78" s="275"/>
      <c r="S78" s="124"/>
    </row>
    <row r="79" spans="1:19" x14ac:dyDescent="0.25">
      <c r="A79" s="124">
        <v>76</v>
      </c>
      <c r="B79" s="275" t="s">
        <v>368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 t="str">
        <f>IF(H79="","",(VLOOKUP(H79,'Reference List'!$B$3:$F$202,5,FALSE)))</f>
        <v/>
      </c>
      <c r="K79" s="275"/>
      <c r="L79" s="275"/>
      <c r="M79" s="275"/>
      <c r="N79" s="275"/>
      <c r="O79" s="275"/>
      <c r="P79" s="275"/>
      <c r="Q79" s="275"/>
      <c r="R79" s="275"/>
      <c r="S79" s="124"/>
    </row>
    <row r="80" spans="1:19" x14ac:dyDescent="0.25">
      <c r="A80" s="135">
        <v>77</v>
      </c>
      <c r="B80" s="275" t="s">
        <v>369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 t="str">
        <f>IF(H80="","",(VLOOKUP(H80,'Reference List'!$B$3:$F$202,5,FALSE)))</f>
        <v/>
      </c>
      <c r="K80" s="275"/>
      <c r="L80" s="275"/>
      <c r="M80" s="275"/>
      <c r="N80" s="275"/>
      <c r="O80" s="275"/>
      <c r="P80" s="275"/>
      <c r="Q80" s="275"/>
      <c r="R80" s="275"/>
      <c r="S80" s="124"/>
    </row>
    <row r="81" spans="1:19" x14ac:dyDescent="0.25">
      <c r="A81" s="124">
        <v>78</v>
      </c>
      <c r="B81" s="275" t="s">
        <v>370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 t="str">
        <f>IF(H81="","",(VLOOKUP(H81,'Reference List'!$B$3:$F$202,5,FALSE)))</f>
        <v/>
      </c>
      <c r="K81" s="275"/>
      <c r="L81" s="275"/>
      <c r="M81" s="275"/>
      <c r="N81" s="275"/>
      <c r="O81" s="275"/>
      <c r="P81" s="275"/>
      <c r="Q81" s="275"/>
      <c r="R81" s="275"/>
      <c r="S81" s="124"/>
    </row>
    <row r="82" spans="1:19" x14ac:dyDescent="0.25">
      <c r="A82" s="124">
        <v>79</v>
      </c>
      <c r="B82" s="275" t="s">
        <v>371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 t="str">
        <f>IF(H82="","",(VLOOKUP(H82,'Reference List'!$B$3:$F$202,5,FALSE)))</f>
        <v/>
      </c>
      <c r="K82" s="275"/>
      <c r="L82" s="275"/>
      <c r="M82" s="275"/>
      <c r="N82" s="275"/>
      <c r="O82" s="275"/>
      <c r="P82" s="275"/>
      <c r="Q82" s="275"/>
      <c r="R82" s="275"/>
      <c r="S82" s="124"/>
    </row>
    <row r="83" spans="1:19" x14ac:dyDescent="0.25">
      <c r="A83" s="135">
        <v>80</v>
      </c>
      <c r="B83" s="275" t="s">
        <v>372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 t="str">
        <f>IF(H83="","",(VLOOKUP(H83,'Reference List'!$B$3:$F$202,5,FALSE)))</f>
        <v/>
      </c>
      <c r="K83" s="275"/>
      <c r="L83" s="275"/>
      <c r="M83" s="275"/>
      <c r="N83" s="275"/>
      <c r="O83" s="275"/>
      <c r="P83" s="275"/>
      <c r="Q83" s="275"/>
      <c r="R83" s="275"/>
      <c r="S83" s="124"/>
    </row>
    <row r="84" spans="1:19" x14ac:dyDescent="0.25">
      <c r="A84" s="124">
        <v>81</v>
      </c>
      <c r="B84" s="275" t="s">
        <v>373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 t="str">
        <f>IF(H84="","",(VLOOKUP(H84,'Reference List'!$B$3:$F$202,5,FALSE)))</f>
        <v/>
      </c>
      <c r="K84" s="275"/>
      <c r="L84" s="275"/>
      <c r="M84" s="275"/>
      <c r="N84" s="275"/>
      <c r="O84" s="275"/>
      <c r="P84" s="275"/>
      <c r="Q84" s="275"/>
      <c r="R84" s="275"/>
      <c r="S84" s="124"/>
    </row>
    <row r="85" spans="1:19" x14ac:dyDescent="0.25">
      <c r="A85" s="124">
        <v>82</v>
      </c>
      <c r="B85" s="275" t="s">
        <v>374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 t="str">
        <f>IF(H85="","",(VLOOKUP(H85,'Reference List'!$B$3:$F$202,5,FALSE)))</f>
        <v/>
      </c>
      <c r="K85" s="275"/>
      <c r="L85" s="275"/>
      <c r="M85" s="275"/>
      <c r="N85" s="275"/>
      <c r="O85" s="275"/>
      <c r="P85" s="275"/>
      <c r="Q85" s="275"/>
      <c r="R85" s="275"/>
      <c r="S85" s="124"/>
    </row>
    <row r="86" spans="1:19" x14ac:dyDescent="0.25">
      <c r="A86" s="135">
        <v>83</v>
      </c>
      <c r="B86" s="275" t="s">
        <v>375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 t="str">
        <f>IF(H86="","",(VLOOKUP(H86,'Reference List'!$B$3:$F$202,5,FALSE)))</f>
        <v/>
      </c>
      <c r="K86" s="275"/>
      <c r="L86" s="275"/>
      <c r="M86" s="275"/>
      <c r="N86" s="275"/>
      <c r="O86" s="275"/>
      <c r="P86" s="275"/>
      <c r="Q86" s="275"/>
      <c r="R86" s="275"/>
      <c r="S86" s="124"/>
    </row>
    <row r="87" spans="1:19" x14ac:dyDescent="0.25">
      <c r="A87" s="124">
        <v>84</v>
      </c>
      <c r="B87" s="275" t="s">
        <v>376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 t="str">
        <f>IF(H87="","",(VLOOKUP(H87,'Reference List'!$B$3:$F$202,5,FALSE)))</f>
        <v/>
      </c>
      <c r="K87" s="275"/>
      <c r="L87" s="275"/>
      <c r="M87" s="275"/>
      <c r="N87" s="275"/>
      <c r="O87" s="275"/>
      <c r="P87" s="275"/>
      <c r="Q87" s="275"/>
      <c r="R87" s="275"/>
      <c r="S87" s="124"/>
    </row>
    <row r="88" spans="1:19" x14ac:dyDescent="0.25">
      <c r="A88" s="124">
        <v>85</v>
      </c>
      <c r="B88" s="275" t="s">
        <v>377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 t="str">
        <f>IF(H88="","",(VLOOKUP(H88,'Reference List'!$B$3:$F$202,5,FALSE)))</f>
        <v/>
      </c>
      <c r="K88" s="275"/>
      <c r="L88" s="275"/>
      <c r="M88" s="275"/>
      <c r="N88" s="275"/>
      <c r="O88" s="275"/>
      <c r="P88" s="275"/>
      <c r="Q88" s="275"/>
      <c r="R88" s="275"/>
      <c r="S88" s="124"/>
    </row>
    <row r="89" spans="1:19" x14ac:dyDescent="0.25">
      <c r="A89" s="135">
        <v>86</v>
      </c>
      <c r="B89" s="275" t="s">
        <v>378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 t="str">
        <f>IF(H89="","",(VLOOKUP(H89,'Reference List'!$B$3:$F$202,5,FALSE)))</f>
        <v/>
      </c>
      <c r="K89" s="275"/>
      <c r="L89" s="275"/>
      <c r="M89" s="275"/>
      <c r="N89" s="275"/>
      <c r="O89" s="275"/>
      <c r="P89" s="275"/>
      <c r="Q89" s="275"/>
      <c r="R89" s="275"/>
      <c r="S89" s="124"/>
    </row>
    <row r="90" spans="1:19" x14ac:dyDescent="0.25">
      <c r="A90" s="124">
        <v>87</v>
      </c>
      <c r="B90" s="275" t="s">
        <v>379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 t="str">
        <f>IF(H90="","",(VLOOKUP(H90,'Reference List'!$B$3:$F$202,5,FALSE)))</f>
        <v/>
      </c>
      <c r="K90" s="275"/>
      <c r="L90" s="275"/>
      <c r="M90" s="275"/>
      <c r="N90" s="275"/>
      <c r="O90" s="275"/>
      <c r="P90" s="275"/>
      <c r="Q90" s="275"/>
      <c r="R90" s="275"/>
      <c r="S90" s="124"/>
    </row>
    <row r="91" spans="1:19" x14ac:dyDescent="0.25">
      <c r="A91" s="124">
        <v>88</v>
      </c>
      <c r="B91" s="275" t="s">
        <v>380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 t="str">
        <f>IF(H91="","",(VLOOKUP(H91,'Reference List'!$B$3:$F$202,5,FALSE)))</f>
        <v/>
      </c>
      <c r="K91" s="275"/>
      <c r="L91" s="275"/>
      <c r="M91" s="275"/>
      <c r="N91" s="275"/>
      <c r="O91" s="275"/>
      <c r="P91" s="275"/>
      <c r="Q91" s="275"/>
      <c r="R91" s="275"/>
      <c r="S91" s="124"/>
    </row>
    <row r="92" spans="1:19" x14ac:dyDescent="0.25">
      <c r="A92" s="135">
        <v>89</v>
      </c>
      <c r="B92" s="275" t="s">
        <v>381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 t="str">
        <f>IF(H92="","",(VLOOKUP(H92,'Reference List'!$B$3:$F$202,5,FALSE)))</f>
        <v/>
      </c>
      <c r="K92" s="275"/>
      <c r="L92" s="275"/>
      <c r="M92" s="275"/>
      <c r="N92" s="275"/>
      <c r="O92" s="275"/>
      <c r="P92" s="275"/>
      <c r="Q92" s="275"/>
      <c r="R92" s="275"/>
      <c r="S92" s="124"/>
    </row>
    <row r="93" spans="1:19" x14ac:dyDescent="0.25">
      <c r="A93" s="124">
        <v>90</v>
      </c>
      <c r="B93" s="275" t="s">
        <v>382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 t="str">
        <f>IF(H93="","",(VLOOKUP(H93,'Reference List'!$B$3:$F$202,5,FALSE)))</f>
        <v/>
      </c>
      <c r="K93" s="275"/>
      <c r="L93" s="275"/>
      <c r="M93" s="275"/>
      <c r="N93" s="275"/>
      <c r="O93" s="275"/>
      <c r="P93" s="275"/>
      <c r="Q93" s="275"/>
      <c r="R93" s="275"/>
      <c r="S93" s="124"/>
    </row>
    <row r="94" spans="1:19" x14ac:dyDescent="0.25">
      <c r="A94" s="124">
        <v>91</v>
      </c>
      <c r="B94" s="275" t="s">
        <v>383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 t="str">
        <f>IF(H94="","",(VLOOKUP(H94,'Reference List'!$B$3:$F$202,5,FALSE)))</f>
        <v/>
      </c>
      <c r="K94" s="275"/>
      <c r="L94" s="275"/>
      <c r="M94" s="275"/>
      <c r="N94" s="275"/>
      <c r="O94" s="275"/>
      <c r="P94" s="275"/>
      <c r="Q94" s="275"/>
      <c r="R94" s="275"/>
      <c r="S94" s="130"/>
    </row>
    <row r="95" spans="1:19" x14ac:dyDescent="0.25">
      <c r="A95" s="135">
        <v>92</v>
      </c>
      <c r="B95" s="275" t="s">
        <v>384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 t="str">
        <f>IF(H95="","",(VLOOKUP(H95,'Reference List'!$B$3:$F$202,5,FALSE)))</f>
        <v/>
      </c>
      <c r="K95" s="275"/>
      <c r="L95" s="275"/>
      <c r="M95" s="275"/>
      <c r="N95" s="275"/>
      <c r="O95" s="275"/>
      <c r="P95" s="275"/>
      <c r="Q95" s="275"/>
      <c r="R95" s="275"/>
      <c r="S95" s="130"/>
    </row>
    <row r="96" spans="1:19" x14ac:dyDescent="0.25">
      <c r="A96" s="124">
        <v>93</v>
      </c>
      <c r="B96" s="275" t="s">
        <v>385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 t="str">
        <f>IF(H96="","",(VLOOKUP(H96,'Reference List'!$B$3:$F$202,5,FALSE)))</f>
        <v/>
      </c>
      <c r="K96" s="275"/>
      <c r="L96" s="275"/>
      <c r="M96" s="275"/>
      <c r="N96" s="275"/>
      <c r="O96" s="275"/>
      <c r="P96" s="275"/>
      <c r="Q96" s="275"/>
      <c r="R96" s="275"/>
      <c r="S96" s="130"/>
    </row>
    <row r="97" spans="1:19" x14ac:dyDescent="0.25">
      <c r="A97" s="124">
        <v>94</v>
      </c>
      <c r="B97" s="275" t="s">
        <v>386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 t="str">
        <f>IF(H97="","",(VLOOKUP(H97,'Reference List'!$B$3:$F$202,5,FALSE)))</f>
        <v/>
      </c>
      <c r="K97" s="275"/>
      <c r="L97" s="275"/>
      <c r="M97" s="275"/>
      <c r="N97" s="275"/>
      <c r="O97" s="275"/>
      <c r="P97" s="275"/>
      <c r="Q97" s="275"/>
      <c r="R97" s="275"/>
      <c r="S97" s="130"/>
    </row>
    <row r="98" spans="1:19" x14ac:dyDescent="0.25">
      <c r="A98" s="135">
        <v>95</v>
      </c>
      <c r="B98" s="275" t="s">
        <v>387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 t="str">
        <f>IF(H98="","",(VLOOKUP(H98,'Reference List'!$B$3:$F$202,5,FALSE)))</f>
        <v/>
      </c>
      <c r="K98" s="275"/>
      <c r="L98" s="275"/>
      <c r="M98" s="275"/>
      <c r="N98" s="275"/>
      <c r="O98" s="275"/>
      <c r="P98" s="275"/>
      <c r="Q98" s="275"/>
      <c r="R98" s="275"/>
      <c r="S98" s="130"/>
    </row>
    <row r="99" spans="1:19" x14ac:dyDescent="0.25">
      <c r="A99" s="124">
        <v>96</v>
      </c>
      <c r="B99" s="275" t="s">
        <v>388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 t="str">
        <f>IF(H99="","",(VLOOKUP(H99,'Reference List'!$B$3:$F$202,5,FALSE)))</f>
        <v/>
      </c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97</v>
      </c>
      <c r="B100" s="275" t="s">
        <v>389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 t="str">
        <f>IF(H100="","",(VLOOKUP(H100,'Reference List'!$B$3:$F$202,5,FALSE)))</f>
        <v/>
      </c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98</v>
      </c>
      <c r="B101" s="275" t="s">
        <v>390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 t="str">
        <f>IF(H101="","",(VLOOKUP(H101,'Reference List'!$B$3:$F$202,5,FALSE)))</f>
        <v/>
      </c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99</v>
      </c>
      <c r="B102" s="275" t="s">
        <v>391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 t="str">
        <f>IF(H102="","",(VLOOKUP(H102,'Reference List'!$B$3:$F$202,5,FALSE)))</f>
        <v/>
      </c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24">
        <v>100</v>
      </c>
      <c r="B103" s="275" t="s">
        <v>392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 t="str">
        <f>IF(H103="","",(VLOOKUP(H103,'Reference List'!$B$3:$F$202,5,FALSE)))</f>
        <v/>
      </c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5">
    <mergeCell ref="H4:I4"/>
    <mergeCell ref="L2:M2"/>
    <mergeCell ref="N2:P2"/>
    <mergeCell ref="Q2:S2"/>
    <mergeCell ref="H20:I20"/>
  </mergeCells>
  <phoneticPr fontId="74" type="noConversion"/>
  <conditionalFormatting sqref="H41 H13:I18 H8:I9 I7">
    <cfRule type="cellIs" dxfId="241" priority="230" operator="equal">
      <formula>#N/A</formula>
    </cfRule>
  </conditionalFormatting>
  <conditionalFormatting sqref="H3 H10:H12 H29 H31:H46">
    <cfRule type="cellIs" dxfId="240" priority="229" operator="equal">
      <formula>#N/A</formula>
    </cfRule>
  </conditionalFormatting>
  <conditionalFormatting sqref="H42">
    <cfRule type="cellIs" dxfId="239" priority="228" operator="equal">
      <formula>#N/A</formula>
    </cfRule>
  </conditionalFormatting>
  <conditionalFormatting sqref="G1:G2">
    <cfRule type="cellIs" dxfId="238" priority="227" operator="equal">
      <formula>#N/A</formula>
    </cfRule>
  </conditionalFormatting>
  <conditionalFormatting sqref="I10:I12 I50:I61">
    <cfRule type="cellIs" dxfId="237" priority="226" operator="equal">
      <formula>#N/A</formula>
    </cfRule>
  </conditionalFormatting>
  <conditionalFormatting sqref="H19">
    <cfRule type="cellIs" dxfId="236" priority="225" operator="equal">
      <formula>#N/A</formula>
    </cfRule>
  </conditionalFormatting>
  <conditionalFormatting sqref="I6">
    <cfRule type="cellIs" dxfId="235" priority="220" operator="equal">
      <formula>#N/A</formula>
    </cfRule>
  </conditionalFormatting>
  <conditionalFormatting sqref="H29">
    <cfRule type="cellIs" dxfId="234" priority="217" operator="equal">
      <formula>#N/A</formula>
    </cfRule>
  </conditionalFormatting>
  <conditionalFormatting sqref="H22">
    <cfRule type="cellIs" dxfId="233" priority="215" operator="equal">
      <formula>#N/A</formula>
    </cfRule>
  </conditionalFormatting>
  <conditionalFormatting sqref="I22:I49">
    <cfRule type="cellIs" dxfId="232" priority="214" operator="equal">
      <formula>#N/A</formula>
    </cfRule>
  </conditionalFormatting>
  <conditionalFormatting sqref="H42">
    <cfRule type="cellIs" dxfId="231" priority="213" operator="equal">
      <formula>#N/A</formula>
    </cfRule>
  </conditionalFormatting>
  <conditionalFormatting sqref="H29">
    <cfRule type="cellIs" dxfId="230" priority="211" operator="equal">
      <formula>#N/A</formula>
    </cfRule>
  </conditionalFormatting>
  <conditionalFormatting sqref="H31">
    <cfRule type="cellIs" dxfId="229" priority="209" operator="equal">
      <formula>#N/A</formula>
    </cfRule>
  </conditionalFormatting>
  <conditionalFormatting sqref="H43">
    <cfRule type="cellIs" dxfId="228" priority="208" operator="equal">
      <formula>#N/A</formula>
    </cfRule>
  </conditionalFormatting>
  <conditionalFormatting sqref="H44">
    <cfRule type="cellIs" dxfId="227" priority="207" operator="equal">
      <formula>#N/A</formula>
    </cfRule>
  </conditionalFormatting>
  <conditionalFormatting sqref="H29">
    <cfRule type="cellIs" dxfId="226" priority="206" operator="equal">
      <formula>#N/A</formula>
    </cfRule>
  </conditionalFormatting>
  <conditionalFormatting sqref="H31">
    <cfRule type="cellIs" dxfId="225" priority="204" operator="equal">
      <formula>#N/A</formula>
    </cfRule>
  </conditionalFormatting>
  <conditionalFormatting sqref="H32">
    <cfRule type="cellIs" dxfId="224" priority="203" operator="equal">
      <formula>#N/A</formula>
    </cfRule>
  </conditionalFormatting>
  <conditionalFormatting sqref="H44">
    <cfRule type="cellIs" dxfId="223" priority="202" operator="equal">
      <formula>#N/A</formula>
    </cfRule>
  </conditionalFormatting>
  <conditionalFormatting sqref="H31">
    <cfRule type="cellIs" dxfId="222" priority="200" operator="equal">
      <formula>#N/A</formula>
    </cfRule>
  </conditionalFormatting>
  <conditionalFormatting sqref="H32">
    <cfRule type="cellIs" dxfId="221" priority="199" operator="equal">
      <formula>#N/A</formula>
    </cfRule>
  </conditionalFormatting>
  <conditionalFormatting sqref="H33">
    <cfRule type="cellIs" dxfId="220" priority="198" operator="equal">
      <formula>#N/A</formula>
    </cfRule>
  </conditionalFormatting>
  <conditionalFormatting sqref="H22:H23">
    <cfRule type="cellIs" dxfId="219" priority="197" operator="equal">
      <formula>#N/A</formula>
    </cfRule>
  </conditionalFormatting>
  <conditionalFormatting sqref="I22:I49">
    <cfRule type="cellIs" dxfId="218" priority="196" operator="equal">
      <formula>#N/A</formula>
    </cfRule>
  </conditionalFormatting>
  <conditionalFormatting sqref="H42">
    <cfRule type="cellIs" dxfId="217" priority="158" operator="equal">
      <formula>#N/A</formula>
    </cfRule>
  </conditionalFormatting>
  <conditionalFormatting sqref="H40">
    <cfRule type="cellIs" dxfId="216" priority="193" operator="equal">
      <formula>#N/A</formula>
    </cfRule>
  </conditionalFormatting>
  <conditionalFormatting sqref="H40">
    <cfRule type="cellIs" dxfId="215" priority="191" operator="equal">
      <formula>#N/A</formula>
    </cfRule>
  </conditionalFormatting>
  <conditionalFormatting sqref="H40">
    <cfRule type="cellIs" dxfId="214" priority="190" operator="equal">
      <formula>#N/A</formula>
    </cfRule>
  </conditionalFormatting>
  <conditionalFormatting sqref="H40">
    <cfRule type="cellIs" dxfId="213" priority="189" operator="equal">
      <formula>#N/A</formula>
    </cfRule>
  </conditionalFormatting>
  <conditionalFormatting sqref="H29">
    <cfRule type="cellIs" dxfId="212" priority="188" operator="equal">
      <formula>#N/A</formula>
    </cfRule>
  </conditionalFormatting>
  <conditionalFormatting sqref="H29">
    <cfRule type="cellIs" dxfId="211" priority="187" operator="equal">
      <formula>#N/A</formula>
    </cfRule>
  </conditionalFormatting>
  <conditionalFormatting sqref="H29">
    <cfRule type="cellIs" dxfId="210" priority="185" operator="equal">
      <formula>#N/A</formula>
    </cfRule>
  </conditionalFormatting>
  <conditionalFormatting sqref="H31">
    <cfRule type="cellIs" dxfId="209" priority="183" operator="equal">
      <formula>#N/A</formula>
    </cfRule>
  </conditionalFormatting>
  <conditionalFormatting sqref="H29">
    <cfRule type="cellIs" dxfId="208" priority="182" operator="equal">
      <formula>#N/A</formula>
    </cfRule>
  </conditionalFormatting>
  <conditionalFormatting sqref="H31">
    <cfRule type="cellIs" dxfId="207" priority="180" operator="equal">
      <formula>#N/A</formula>
    </cfRule>
  </conditionalFormatting>
  <conditionalFormatting sqref="H32">
    <cfRule type="cellIs" dxfId="206" priority="179" operator="equal">
      <formula>#N/A</formula>
    </cfRule>
  </conditionalFormatting>
  <conditionalFormatting sqref="H34">
    <cfRule type="cellIs" dxfId="205" priority="178" operator="equal">
      <formula>#N/A</formula>
    </cfRule>
  </conditionalFormatting>
  <conditionalFormatting sqref="H29">
    <cfRule type="cellIs" dxfId="204" priority="174" operator="equal">
      <formula>#N/A</formula>
    </cfRule>
  </conditionalFormatting>
  <conditionalFormatting sqref="H31">
    <cfRule type="cellIs" dxfId="203" priority="172" operator="equal">
      <formula>#N/A</formula>
    </cfRule>
  </conditionalFormatting>
  <conditionalFormatting sqref="H32">
    <cfRule type="cellIs" dxfId="202" priority="171" operator="equal">
      <formula>#N/A</formula>
    </cfRule>
  </conditionalFormatting>
  <conditionalFormatting sqref="H31">
    <cfRule type="cellIs" dxfId="201" priority="169" operator="equal">
      <formula>#N/A</formula>
    </cfRule>
  </conditionalFormatting>
  <conditionalFormatting sqref="H32">
    <cfRule type="cellIs" dxfId="200" priority="168" operator="equal">
      <formula>#N/A</formula>
    </cfRule>
  </conditionalFormatting>
  <conditionalFormatting sqref="H33">
    <cfRule type="cellIs" dxfId="199" priority="167" operator="equal">
      <formula>#N/A</formula>
    </cfRule>
  </conditionalFormatting>
  <conditionalFormatting sqref="H31">
    <cfRule type="cellIs" dxfId="198" priority="166" operator="equal">
      <formula>#N/A</formula>
    </cfRule>
  </conditionalFormatting>
  <conditionalFormatting sqref="H32">
    <cfRule type="cellIs" dxfId="197" priority="165" operator="equal">
      <formula>#N/A</formula>
    </cfRule>
  </conditionalFormatting>
  <conditionalFormatting sqref="H33">
    <cfRule type="cellIs" dxfId="196" priority="164" operator="equal">
      <formula>#N/A</formula>
    </cfRule>
  </conditionalFormatting>
  <conditionalFormatting sqref="H34">
    <cfRule type="cellIs" dxfId="195" priority="163" operator="equal">
      <formula>#N/A</formula>
    </cfRule>
  </conditionalFormatting>
  <conditionalFormatting sqref="H32">
    <cfRule type="cellIs" dxfId="194" priority="162" operator="equal">
      <formula>#N/A</formula>
    </cfRule>
  </conditionalFormatting>
  <conditionalFormatting sqref="H33">
    <cfRule type="cellIs" dxfId="193" priority="161" operator="equal">
      <formula>#N/A</formula>
    </cfRule>
  </conditionalFormatting>
  <conditionalFormatting sqref="H34">
    <cfRule type="cellIs" dxfId="192" priority="160" operator="equal">
      <formula>#N/A</formula>
    </cfRule>
  </conditionalFormatting>
  <conditionalFormatting sqref="H35">
    <cfRule type="cellIs" dxfId="191" priority="159" operator="equal">
      <formula>#N/A</formula>
    </cfRule>
  </conditionalFormatting>
  <conditionalFormatting sqref="H42">
    <cfRule type="cellIs" dxfId="190" priority="156" operator="equal">
      <formula>#N/A</formula>
    </cfRule>
  </conditionalFormatting>
  <conditionalFormatting sqref="H42">
    <cfRule type="cellIs" dxfId="189" priority="155" operator="equal">
      <formula>#N/A</formula>
    </cfRule>
  </conditionalFormatting>
  <conditionalFormatting sqref="H42">
    <cfRule type="cellIs" dxfId="188" priority="154" operator="equal">
      <formula>#N/A</formula>
    </cfRule>
  </conditionalFormatting>
  <conditionalFormatting sqref="H31">
    <cfRule type="cellIs" dxfId="187" priority="153" operator="equal">
      <formula>#N/A</formula>
    </cfRule>
  </conditionalFormatting>
  <conditionalFormatting sqref="H31">
    <cfRule type="cellIs" dxfId="186" priority="152" operator="equal">
      <formula>#N/A</formula>
    </cfRule>
  </conditionalFormatting>
  <conditionalFormatting sqref="H32">
    <cfRule type="cellIs" dxfId="185" priority="151" operator="equal">
      <formula>#N/A</formula>
    </cfRule>
  </conditionalFormatting>
  <conditionalFormatting sqref="H31">
    <cfRule type="cellIs" dxfId="184" priority="150" operator="equal">
      <formula>#N/A</formula>
    </cfRule>
  </conditionalFormatting>
  <conditionalFormatting sqref="H32">
    <cfRule type="cellIs" dxfId="183" priority="149" operator="equal">
      <formula>#N/A</formula>
    </cfRule>
  </conditionalFormatting>
  <conditionalFormatting sqref="H33">
    <cfRule type="cellIs" dxfId="182" priority="148" operator="equal">
      <formula>#N/A</formula>
    </cfRule>
  </conditionalFormatting>
  <conditionalFormatting sqref="H31">
    <cfRule type="cellIs" dxfId="181" priority="147" operator="equal">
      <formula>#N/A</formula>
    </cfRule>
  </conditionalFormatting>
  <conditionalFormatting sqref="H32">
    <cfRule type="cellIs" dxfId="180" priority="146" operator="equal">
      <formula>#N/A</formula>
    </cfRule>
  </conditionalFormatting>
  <conditionalFormatting sqref="H33">
    <cfRule type="cellIs" dxfId="179" priority="145" operator="equal">
      <formula>#N/A</formula>
    </cfRule>
  </conditionalFormatting>
  <conditionalFormatting sqref="H34">
    <cfRule type="cellIs" dxfId="178" priority="144" operator="equal">
      <formula>#N/A</formula>
    </cfRule>
  </conditionalFormatting>
  <conditionalFormatting sqref="H36">
    <cfRule type="cellIs" dxfId="177" priority="143" operator="equal">
      <formula>#N/A</formula>
    </cfRule>
  </conditionalFormatting>
  <conditionalFormatting sqref="H43">
    <cfRule type="cellIs" dxfId="176" priority="138" operator="equal">
      <formula>#N/A</formula>
    </cfRule>
  </conditionalFormatting>
  <conditionalFormatting sqref="H44">
    <cfRule type="cellIs" dxfId="175" priority="137" operator="equal">
      <formula>#N/A</formula>
    </cfRule>
  </conditionalFormatting>
  <conditionalFormatting sqref="H29">
    <cfRule type="cellIs" dxfId="174" priority="136" operator="equal">
      <formula>#N/A</formula>
    </cfRule>
  </conditionalFormatting>
  <conditionalFormatting sqref="H31">
    <cfRule type="cellIs" dxfId="173" priority="134" operator="equal">
      <formula>#N/A</formula>
    </cfRule>
  </conditionalFormatting>
  <conditionalFormatting sqref="H32">
    <cfRule type="cellIs" dxfId="172" priority="133" operator="equal">
      <formula>#N/A</formula>
    </cfRule>
  </conditionalFormatting>
  <conditionalFormatting sqref="H44">
    <cfRule type="cellIs" dxfId="171" priority="132" operator="equal">
      <formula>#N/A</formula>
    </cfRule>
  </conditionalFormatting>
  <conditionalFormatting sqref="H31">
    <cfRule type="cellIs" dxfId="170" priority="130" operator="equal">
      <formula>#N/A</formula>
    </cfRule>
  </conditionalFormatting>
  <conditionalFormatting sqref="H32">
    <cfRule type="cellIs" dxfId="169" priority="129" operator="equal">
      <formula>#N/A</formula>
    </cfRule>
  </conditionalFormatting>
  <conditionalFormatting sqref="H33">
    <cfRule type="cellIs" dxfId="168" priority="128" operator="equal">
      <formula>#N/A</formula>
    </cfRule>
  </conditionalFormatting>
  <conditionalFormatting sqref="H31">
    <cfRule type="cellIs" dxfId="167" priority="127" operator="equal">
      <formula>#N/A</formula>
    </cfRule>
  </conditionalFormatting>
  <conditionalFormatting sqref="H32">
    <cfRule type="cellIs" dxfId="166" priority="126" operator="equal">
      <formula>#N/A</formula>
    </cfRule>
  </conditionalFormatting>
  <conditionalFormatting sqref="H33">
    <cfRule type="cellIs" dxfId="165" priority="125" operator="equal">
      <formula>#N/A</formula>
    </cfRule>
  </conditionalFormatting>
  <conditionalFormatting sqref="H34">
    <cfRule type="cellIs" dxfId="164" priority="124" operator="equal">
      <formula>#N/A</formula>
    </cfRule>
  </conditionalFormatting>
  <conditionalFormatting sqref="H32">
    <cfRule type="cellIs" dxfId="163" priority="123" operator="equal">
      <formula>#N/A</formula>
    </cfRule>
  </conditionalFormatting>
  <conditionalFormatting sqref="H33">
    <cfRule type="cellIs" dxfId="162" priority="122" operator="equal">
      <formula>#N/A</formula>
    </cfRule>
  </conditionalFormatting>
  <conditionalFormatting sqref="H34">
    <cfRule type="cellIs" dxfId="161" priority="121" operator="equal">
      <formula>#N/A</formula>
    </cfRule>
  </conditionalFormatting>
  <conditionalFormatting sqref="H35">
    <cfRule type="cellIs" dxfId="160" priority="120" operator="equal">
      <formula>#N/A</formula>
    </cfRule>
  </conditionalFormatting>
  <conditionalFormatting sqref="H44">
    <cfRule type="cellIs" dxfId="159" priority="84" operator="equal">
      <formula>#N/A</formula>
    </cfRule>
  </conditionalFormatting>
  <conditionalFormatting sqref="H42">
    <cfRule type="cellIs" dxfId="158" priority="119" operator="equal">
      <formula>#N/A</formula>
    </cfRule>
  </conditionalFormatting>
  <conditionalFormatting sqref="H42">
    <cfRule type="cellIs" dxfId="157" priority="117" operator="equal">
      <formula>#N/A</formula>
    </cfRule>
  </conditionalFormatting>
  <conditionalFormatting sqref="H42">
    <cfRule type="cellIs" dxfId="156" priority="116" operator="equal">
      <formula>#N/A</formula>
    </cfRule>
  </conditionalFormatting>
  <conditionalFormatting sqref="H42">
    <cfRule type="cellIs" dxfId="155" priority="115" operator="equal">
      <formula>#N/A</formula>
    </cfRule>
  </conditionalFormatting>
  <conditionalFormatting sqref="H31">
    <cfRule type="cellIs" dxfId="154" priority="114" operator="equal">
      <formula>#N/A</formula>
    </cfRule>
  </conditionalFormatting>
  <conditionalFormatting sqref="H31">
    <cfRule type="cellIs" dxfId="153" priority="113" operator="equal">
      <formula>#N/A</formula>
    </cfRule>
  </conditionalFormatting>
  <conditionalFormatting sqref="H32">
    <cfRule type="cellIs" dxfId="152" priority="112" operator="equal">
      <formula>#N/A</formula>
    </cfRule>
  </conditionalFormatting>
  <conditionalFormatting sqref="H31">
    <cfRule type="cellIs" dxfId="151" priority="111" operator="equal">
      <formula>#N/A</formula>
    </cfRule>
  </conditionalFormatting>
  <conditionalFormatting sqref="H32">
    <cfRule type="cellIs" dxfId="150" priority="110" operator="equal">
      <formula>#N/A</formula>
    </cfRule>
  </conditionalFormatting>
  <conditionalFormatting sqref="H33">
    <cfRule type="cellIs" dxfId="149" priority="109" operator="equal">
      <formula>#N/A</formula>
    </cfRule>
  </conditionalFormatting>
  <conditionalFormatting sqref="H31">
    <cfRule type="cellIs" dxfId="148" priority="108" operator="equal">
      <formula>#N/A</formula>
    </cfRule>
  </conditionalFormatting>
  <conditionalFormatting sqref="H32">
    <cfRule type="cellIs" dxfId="147" priority="107" operator="equal">
      <formula>#N/A</formula>
    </cfRule>
  </conditionalFormatting>
  <conditionalFormatting sqref="H33">
    <cfRule type="cellIs" dxfId="146" priority="106" operator="equal">
      <formula>#N/A</formula>
    </cfRule>
  </conditionalFormatting>
  <conditionalFormatting sqref="H34">
    <cfRule type="cellIs" dxfId="145" priority="105" operator="equal">
      <formula>#N/A</formula>
    </cfRule>
  </conditionalFormatting>
  <conditionalFormatting sqref="H36">
    <cfRule type="cellIs" dxfId="144" priority="104" operator="equal">
      <formula>#N/A</formula>
    </cfRule>
  </conditionalFormatting>
  <conditionalFormatting sqref="H31">
    <cfRule type="cellIs" dxfId="143" priority="100" operator="equal">
      <formula>#N/A</formula>
    </cfRule>
  </conditionalFormatting>
  <conditionalFormatting sqref="H32">
    <cfRule type="cellIs" dxfId="142" priority="99" operator="equal">
      <formula>#N/A</formula>
    </cfRule>
  </conditionalFormatting>
  <conditionalFormatting sqref="H33">
    <cfRule type="cellIs" dxfId="141" priority="98" operator="equal">
      <formula>#N/A</formula>
    </cfRule>
  </conditionalFormatting>
  <conditionalFormatting sqref="H34">
    <cfRule type="cellIs" dxfId="140" priority="97" operator="equal">
      <formula>#N/A</formula>
    </cfRule>
  </conditionalFormatting>
  <conditionalFormatting sqref="H32">
    <cfRule type="cellIs" dxfId="139" priority="96" operator="equal">
      <formula>#N/A</formula>
    </cfRule>
  </conditionalFormatting>
  <conditionalFormatting sqref="H33">
    <cfRule type="cellIs" dxfId="138" priority="95" operator="equal">
      <formula>#N/A</formula>
    </cfRule>
  </conditionalFormatting>
  <conditionalFormatting sqref="H34">
    <cfRule type="cellIs" dxfId="137" priority="94" operator="equal">
      <formula>#N/A</formula>
    </cfRule>
  </conditionalFormatting>
  <conditionalFormatting sqref="H35">
    <cfRule type="cellIs" dxfId="136" priority="93" operator="equal">
      <formula>#N/A</formula>
    </cfRule>
  </conditionalFormatting>
  <conditionalFormatting sqref="H33">
    <cfRule type="cellIs" dxfId="135" priority="92" operator="equal">
      <formula>#N/A</formula>
    </cfRule>
  </conditionalFormatting>
  <conditionalFormatting sqref="H34">
    <cfRule type="cellIs" dxfId="134" priority="91" operator="equal">
      <formula>#N/A</formula>
    </cfRule>
  </conditionalFormatting>
  <conditionalFormatting sqref="H35">
    <cfRule type="cellIs" dxfId="133" priority="90" operator="equal">
      <formula>#N/A</formula>
    </cfRule>
  </conditionalFormatting>
  <conditionalFormatting sqref="H36">
    <cfRule type="cellIs" dxfId="132" priority="89" operator="equal">
      <formula>#N/A</formula>
    </cfRule>
  </conditionalFormatting>
  <conditionalFormatting sqref="H34">
    <cfRule type="cellIs" dxfId="131" priority="88" operator="equal">
      <formula>#N/A</formula>
    </cfRule>
  </conditionalFormatting>
  <conditionalFormatting sqref="H35">
    <cfRule type="cellIs" dxfId="130" priority="87" operator="equal">
      <formula>#N/A</formula>
    </cfRule>
  </conditionalFormatting>
  <conditionalFormatting sqref="H36">
    <cfRule type="cellIs" dxfId="129" priority="86" operator="equal">
      <formula>#N/A</formula>
    </cfRule>
  </conditionalFormatting>
  <conditionalFormatting sqref="H37">
    <cfRule type="cellIs" dxfId="128" priority="85" operator="equal">
      <formula>#N/A</formula>
    </cfRule>
  </conditionalFormatting>
  <conditionalFormatting sqref="H44">
    <cfRule type="cellIs" dxfId="127" priority="82" operator="equal">
      <formula>#N/A</formula>
    </cfRule>
  </conditionalFormatting>
  <conditionalFormatting sqref="H44">
    <cfRule type="cellIs" dxfId="126" priority="81" operator="equal">
      <formula>#N/A</formula>
    </cfRule>
  </conditionalFormatting>
  <conditionalFormatting sqref="H44">
    <cfRule type="cellIs" dxfId="125" priority="80" operator="equal">
      <formula>#N/A</formula>
    </cfRule>
  </conditionalFormatting>
  <conditionalFormatting sqref="H33">
    <cfRule type="cellIs" dxfId="124" priority="79" operator="equal">
      <formula>#N/A</formula>
    </cfRule>
  </conditionalFormatting>
  <conditionalFormatting sqref="H33">
    <cfRule type="cellIs" dxfId="123" priority="78" operator="equal">
      <formula>#N/A</formula>
    </cfRule>
  </conditionalFormatting>
  <conditionalFormatting sqref="H34">
    <cfRule type="cellIs" dxfId="122" priority="77" operator="equal">
      <formula>#N/A</formula>
    </cfRule>
  </conditionalFormatting>
  <conditionalFormatting sqref="H33">
    <cfRule type="cellIs" dxfId="121" priority="76" operator="equal">
      <formula>#N/A</formula>
    </cfRule>
  </conditionalFormatting>
  <conditionalFormatting sqref="H34">
    <cfRule type="cellIs" dxfId="120" priority="75" operator="equal">
      <formula>#N/A</formula>
    </cfRule>
  </conditionalFormatting>
  <conditionalFormatting sqref="H35">
    <cfRule type="cellIs" dxfId="119" priority="74" operator="equal">
      <formula>#N/A</formula>
    </cfRule>
  </conditionalFormatting>
  <conditionalFormatting sqref="H33">
    <cfRule type="cellIs" dxfId="118" priority="73" operator="equal">
      <formula>#N/A</formula>
    </cfRule>
  </conditionalFormatting>
  <conditionalFormatting sqref="H34">
    <cfRule type="cellIs" dxfId="117" priority="72" operator="equal">
      <formula>#N/A</formula>
    </cfRule>
  </conditionalFormatting>
  <conditionalFormatting sqref="H35">
    <cfRule type="cellIs" dxfId="116" priority="71" operator="equal">
      <formula>#N/A</formula>
    </cfRule>
  </conditionalFormatting>
  <conditionalFormatting sqref="H36">
    <cfRule type="cellIs" dxfId="115" priority="70" operator="equal">
      <formula>#N/A</formula>
    </cfRule>
  </conditionalFormatting>
  <conditionalFormatting sqref="H38">
    <cfRule type="cellIs" dxfId="114" priority="69" operator="equal">
      <formula>#N/A</formula>
    </cfRule>
  </conditionalFormatting>
  <conditionalFormatting sqref="H28">
    <cfRule type="cellIs" dxfId="113" priority="63" operator="equal">
      <formula>#N/A</formula>
    </cfRule>
  </conditionalFormatting>
  <conditionalFormatting sqref="H28">
    <cfRule type="cellIs" dxfId="112" priority="61" operator="equal">
      <formula>#N/A</formula>
    </cfRule>
  </conditionalFormatting>
  <conditionalFormatting sqref="H28">
    <cfRule type="cellIs" dxfId="111" priority="60" operator="equal">
      <formula>#N/A</formula>
    </cfRule>
  </conditionalFormatting>
  <conditionalFormatting sqref="H28">
    <cfRule type="cellIs" dxfId="110" priority="59" operator="equal">
      <formula>#N/A</formula>
    </cfRule>
  </conditionalFormatting>
  <conditionalFormatting sqref="H28">
    <cfRule type="cellIs" dxfId="109" priority="58" operator="equal">
      <formula>#N/A</formula>
    </cfRule>
  </conditionalFormatting>
  <conditionalFormatting sqref="H28">
    <cfRule type="cellIs" dxfId="108" priority="57" operator="equal">
      <formula>#N/A</formula>
    </cfRule>
  </conditionalFormatting>
  <conditionalFormatting sqref="H28">
    <cfRule type="cellIs" dxfId="107" priority="56" operator="equal">
      <formula>#N/A</formula>
    </cfRule>
  </conditionalFormatting>
  <conditionalFormatting sqref="H28">
    <cfRule type="cellIs" dxfId="106" priority="55" operator="equal">
      <formula>#N/A</formula>
    </cfRule>
  </conditionalFormatting>
  <conditionalFormatting sqref="H28">
    <cfRule type="cellIs" dxfId="105" priority="54" operator="equal">
      <formula>#N/A</formula>
    </cfRule>
  </conditionalFormatting>
  <conditionalFormatting sqref="H28">
    <cfRule type="cellIs" dxfId="104" priority="53" operator="equal">
      <formula>#N/A</formula>
    </cfRule>
  </conditionalFormatting>
  <conditionalFormatting sqref="H43">
    <cfRule type="cellIs" dxfId="103" priority="50" operator="equal">
      <formula>#N/A</formula>
    </cfRule>
  </conditionalFormatting>
  <conditionalFormatting sqref="H44">
    <cfRule type="cellIs" dxfId="102" priority="49" operator="equal">
      <formula>#N/A</formula>
    </cfRule>
  </conditionalFormatting>
  <conditionalFormatting sqref="H44">
    <cfRule type="cellIs" dxfId="101" priority="48" operator="equal">
      <formula>#N/A</formula>
    </cfRule>
  </conditionalFormatting>
  <conditionalFormatting sqref="H45">
    <cfRule type="cellIs" dxfId="100" priority="47" operator="equal">
      <formula>#N/A</formula>
    </cfRule>
  </conditionalFormatting>
  <conditionalFormatting sqref="H46">
    <cfRule type="cellIs" dxfId="99" priority="46" operator="equal">
      <formula>#N/A</formula>
    </cfRule>
  </conditionalFormatting>
  <conditionalFormatting sqref="H46">
    <cfRule type="cellIs" dxfId="98" priority="45" operator="equal">
      <formula>#N/A</formula>
    </cfRule>
  </conditionalFormatting>
  <conditionalFormatting sqref="H44">
    <cfRule type="cellIs" dxfId="97" priority="44" operator="equal">
      <formula>#N/A</formula>
    </cfRule>
  </conditionalFormatting>
  <conditionalFormatting sqref="H44">
    <cfRule type="cellIs" dxfId="96" priority="42" operator="equal">
      <formula>#N/A</formula>
    </cfRule>
  </conditionalFormatting>
  <conditionalFormatting sqref="H44">
    <cfRule type="cellIs" dxfId="95" priority="41" operator="equal">
      <formula>#N/A</formula>
    </cfRule>
  </conditionalFormatting>
  <conditionalFormatting sqref="H44">
    <cfRule type="cellIs" dxfId="94" priority="40" operator="equal">
      <formula>#N/A</formula>
    </cfRule>
  </conditionalFormatting>
  <conditionalFormatting sqref="H45">
    <cfRule type="cellIs" dxfId="93" priority="39" operator="equal">
      <formula>#N/A</formula>
    </cfRule>
  </conditionalFormatting>
  <conditionalFormatting sqref="H46">
    <cfRule type="cellIs" dxfId="92" priority="38" operator="equal">
      <formula>#N/A</formula>
    </cfRule>
  </conditionalFormatting>
  <conditionalFormatting sqref="H46">
    <cfRule type="cellIs" dxfId="91" priority="37" operator="equal">
      <formula>#N/A</formula>
    </cfRule>
  </conditionalFormatting>
  <conditionalFormatting sqref="H46">
    <cfRule type="cellIs" dxfId="90" priority="31" operator="equal">
      <formula>#N/A</formula>
    </cfRule>
  </conditionalFormatting>
  <conditionalFormatting sqref="H44">
    <cfRule type="cellIs" dxfId="89" priority="36" operator="equal">
      <formula>#N/A</formula>
    </cfRule>
  </conditionalFormatting>
  <conditionalFormatting sqref="H44">
    <cfRule type="cellIs" dxfId="88" priority="34" operator="equal">
      <formula>#N/A</formula>
    </cfRule>
  </conditionalFormatting>
  <conditionalFormatting sqref="H44">
    <cfRule type="cellIs" dxfId="87" priority="33" operator="equal">
      <formula>#N/A</formula>
    </cfRule>
  </conditionalFormatting>
  <conditionalFormatting sqref="H44">
    <cfRule type="cellIs" dxfId="86" priority="32" operator="equal">
      <formula>#N/A</formula>
    </cfRule>
  </conditionalFormatting>
  <conditionalFormatting sqref="H46">
    <cfRule type="cellIs" dxfId="85" priority="29" operator="equal">
      <formula>#N/A</formula>
    </cfRule>
  </conditionalFormatting>
  <conditionalFormatting sqref="H46">
    <cfRule type="cellIs" dxfId="84" priority="28" operator="equal">
      <formula>#N/A</formula>
    </cfRule>
  </conditionalFormatting>
  <conditionalFormatting sqref="H46">
    <cfRule type="cellIs" dxfId="83" priority="27" operator="equal">
      <formula>#N/A</formula>
    </cfRule>
  </conditionalFormatting>
  <conditionalFormatting sqref="H30">
    <cfRule type="cellIs" dxfId="82" priority="26" operator="equal">
      <formula>#N/A</formula>
    </cfRule>
  </conditionalFormatting>
  <conditionalFormatting sqref="H27">
    <cfRule type="cellIs" dxfId="81" priority="22" operator="equal">
      <formula>#N/A</formula>
    </cfRule>
  </conditionalFormatting>
  <conditionalFormatting sqref="H27">
    <cfRule type="cellIs" dxfId="80" priority="20" operator="equal">
      <formula>#N/A</formula>
    </cfRule>
  </conditionalFormatting>
  <conditionalFormatting sqref="H27">
    <cfRule type="cellIs" dxfId="79" priority="19" operator="equal">
      <formula>#N/A</formula>
    </cfRule>
  </conditionalFormatting>
  <conditionalFormatting sqref="H27">
    <cfRule type="cellIs" dxfId="78" priority="18" operator="equal">
      <formula>#N/A</formula>
    </cfRule>
  </conditionalFormatting>
  <conditionalFormatting sqref="H27">
    <cfRule type="cellIs" dxfId="77" priority="17" operator="equal">
      <formula>#N/A</formula>
    </cfRule>
  </conditionalFormatting>
  <conditionalFormatting sqref="H27">
    <cfRule type="cellIs" dxfId="76" priority="16" operator="equal">
      <formula>#N/A</formula>
    </cfRule>
  </conditionalFormatting>
  <conditionalFormatting sqref="H27">
    <cfRule type="cellIs" dxfId="75" priority="15" operator="equal">
      <formula>#N/A</formula>
    </cfRule>
  </conditionalFormatting>
  <conditionalFormatting sqref="H27">
    <cfRule type="cellIs" dxfId="74" priority="14" operator="equal">
      <formula>#N/A</formula>
    </cfRule>
  </conditionalFormatting>
  <conditionalFormatting sqref="H27">
    <cfRule type="cellIs" dxfId="73" priority="13" operator="equal">
      <formula>#N/A</formula>
    </cfRule>
  </conditionalFormatting>
  <conditionalFormatting sqref="H27">
    <cfRule type="cellIs" dxfId="72" priority="12" operator="equal">
      <formula>#N/A</formula>
    </cfRule>
  </conditionalFormatting>
  <conditionalFormatting sqref="S6:S18">
    <cfRule type="cellIs" dxfId="71" priority="8" operator="equal">
      <formula>"DRY"</formula>
    </cfRule>
    <cfRule type="cellIs" dxfId="70" priority="9" operator="equal">
      <formula>"CH"</formula>
    </cfRule>
  </conditionalFormatting>
  <conditionalFormatting sqref="S22:S58">
    <cfRule type="cellIs" dxfId="69" priority="6" operator="equal">
      <formula>"DRY"</formula>
    </cfRule>
    <cfRule type="cellIs" dxfId="68" priority="7" operator="equal">
      <formula>"CHILLER"</formula>
    </cfRule>
  </conditionalFormatting>
  <conditionalFormatting sqref="H5">
    <cfRule type="cellIs" dxfId="67" priority="5" operator="equal">
      <formula>#N/A</formula>
    </cfRule>
  </conditionalFormatting>
  <conditionalFormatting sqref="H21">
    <cfRule type="cellIs" dxfId="66" priority="4" operator="equal">
      <formula>#N/A</formula>
    </cfRule>
  </conditionalFormatting>
  <conditionalFormatting sqref="H7">
    <cfRule type="cellIs" dxfId="65" priority="3" operator="equal">
      <formula>#N/A</formula>
    </cfRule>
  </conditionalFormatting>
  <conditionalFormatting sqref="H24">
    <cfRule type="cellIs" dxfId="64" priority="2" operator="equal">
      <formula>#N/A</formula>
    </cfRule>
  </conditionalFormatting>
  <dataValidations count="1">
    <dataValidation type="list" allowBlank="1" showInputMessage="1" showErrorMessage="1" sqref="S6:S18 S22:S61" xr:uid="{00000000-0002-0000-0400-000000000000}">
      <formula1>TEMP</formula1>
    </dataValidation>
  </dataValidations>
  <pageMargins left="0.7" right="0.7" top="0.75" bottom="0.75" header="0.3" footer="0.3"/>
  <pageSetup paperSize="9" scale="78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28575</xdr:colOff>
                    <xdr:row>2</xdr:row>
                    <xdr:rowOff>152400</xdr:rowOff>
                  </from>
                  <to>
                    <xdr:col>21</xdr:col>
                    <xdr:colOff>114300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V103"/>
  <sheetViews>
    <sheetView topLeftCell="B1" zoomScaleNormal="100" zoomScaleSheetLayoutView="100" workbookViewId="0">
      <pane ySplit="4" topLeftCell="A5" activePane="bottomLeft" state="frozen"/>
      <selection activeCell="F17" sqref="F17"/>
      <selection pane="bottomLeft" activeCell="B22" sqref="B22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.85546875" customWidth="1"/>
    <col min="7" max="7" width="16" customWidth="1"/>
    <col min="8" max="8" width="36.7109375" customWidth="1"/>
    <col min="9" max="9" width="37.28515625" customWidth="1"/>
    <col min="10" max="10" width="11.85546875" customWidth="1"/>
    <col min="11" max="11" width="11.140625" customWidth="1"/>
    <col min="12" max="12" width="6.5703125" customWidth="1"/>
    <col min="13" max="13" width="7.5703125" customWidth="1"/>
    <col min="14" max="14" width="0.28515625" hidden="1" customWidth="1"/>
    <col min="15" max="15" width="6.7109375" hidden="1" customWidth="1"/>
    <col min="16" max="16" width="13.140625" customWidth="1"/>
    <col min="17" max="17" width="11.140625" customWidth="1"/>
    <col min="18" max="18" width="15.140625" customWidth="1"/>
    <col min="19" max="19" width="13.28515625" hidden="1" customWidth="1"/>
  </cols>
  <sheetData>
    <row r="1" spans="1:22" ht="36.75" customHeight="1" thickBot="1" x14ac:dyDescent="0.3">
      <c r="A1" s="1"/>
      <c r="B1" s="1"/>
      <c r="C1" s="1"/>
      <c r="D1" s="1"/>
      <c r="E1" s="1"/>
      <c r="F1" s="2"/>
      <c r="G1" s="1"/>
      <c r="H1" s="1"/>
      <c r="I1" s="3"/>
      <c r="J1" s="1"/>
      <c r="K1" s="1"/>
      <c r="L1" s="4"/>
      <c r="M1" s="4"/>
      <c r="N1" s="4"/>
      <c r="O1" s="4"/>
      <c r="P1" s="4"/>
      <c r="Q1" s="4"/>
      <c r="R1" s="1"/>
    </row>
    <row r="2" spans="1:22" ht="66.75" customHeight="1" thickBot="1" x14ac:dyDescent="0.55000000000000004">
      <c r="A2" s="106"/>
      <c r="B2" s="173"/>
      <c r="C2" s="106"/>
      <c r="D2" s="174"/>
      <c r="E2" s="174"/>
      <c r="F2" s="106" t="s">
        <v>32</v>
      </c>
      <c r="G2" s="106"/>
      <c r="H2" s="106"/>
      <c r="I2" s="175"/>
      <c r="J2" s="176"/>
      <c r="K2" s="106"/>
      <c r="L2" s="313" t="s">
        <v>53</v>
      </c>
      <c r="M2" s="328"/>
      <c r="N2" s="329" t="str">
        <f>Monday!N2</f>
        <v>xxxx</v>
      </c>
      <c r="O2" s="329"/>
      <c r="P2" s="330"/>
      <c r="Q2" s="318" t="e">
        <f>N2-2</f>
        <v>#VALUE!</v>
      </c>
      <c r="R2" s="319"/>
      <c r="S2" s="318"/>
    </row>
    <row r="3" spans="1:22" ht="15.75" thickBot="1" x14ac:dyDescent="0.3">
      <c r="A3" s="185"/>
      <c r="B3" s="194"/>
      <c r="C3" s="194"/>
      <c r="D3" s="195"/>
      <c r="E3" s="196"/>
      <c r="F3" s="187"/>
      <c r="G3" s="187"/>
      <c r="H3" s="187"/>
      <c r="I3" s="188"/>
      <c r="J3" s="187"/>
      <c r="K3" s="187"/>
      <c r="L3" s="187"/>
      <c r="M3" s="187"/>
      <c r="N3" s="187"/>
      <c r="O3" s="187"/>
      <c r="P3" s="187"/>
      <c r="Q3" s="187"/>
      <c r="R3" s="199"/>
      <c r="S3" s="189"/>
    </row>
    <row r="4" spans="1:22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22" ht="27.7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22" x14ac:dyDescent="0.25">
      <c r="A6" s="135">
        <v>1</v>
      </c>
      <c r="B6" s="275" t="s">
        <v>67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 t="str">
        <f>IF(H6="","",(VLOOKUP(H6,'Reference List'!$B$3:$F$202,5,FALSE)))</f>
        <v/>
      </c>
      <c r="K6" s="275"/>
      <c r="L6" s="275"/>
      <c r="M6" s="275"/>
      <c r="N6" s="275"/>
      <c r="O6" s="275"/>
      <c r="P6" s="277"/>
      <c r="Q6" s="275"/>
      <c r="R6" s="275"/>
      <c r="S6" s="169"/>
      <c r="V6" s="158"/>
    </row>
    <row r="7" spans="1:22" x14ac:dyDescent="0.25">
      <c r="A7" s="124">
        <v>2</v>
      </c>
      <c r="B7" s="275" t="s">
        <v>69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 t="str">
        <f>IF(H7="","",(VLOOKUP(H7,'Reference List'!$B$3:$F$202,5,FALSE)))</f>
        <v/>
      </c>
      <c r="K7" s="275"/>
      <c r="L7" s="275"/>
      <c r="M7" s="275"/>
      <c r="N7" s="275"/>
      <c r="O7" s="275"/>
      <c r="P7" s="277"/>
      <c r="Q7" s="277"/>
      <c r="R7" s="275"/>
      <c r="S7" s="169"/>
      <c r="V7" s="158"/>
    </row>
    <row r="8" spans="1:22" x14ac:dyDescent="0.25">
      <c r="A8" s="124">
        <v>3</v>
      </c>
      <c r="B8" s="275" t="s">
        <v>68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 t="str">
        <f>IF(H8="","",(VLOOKUP(H8,'Reference List'!$B$3:$F$202,5,FALSE)))</f>
        <v/>
      </c>
      <c r="K8" s="275"/>
      <c r="L8" s="275"/>
      <c r="M8" s="275"/>
      <c r="N8" s="275"/>
      <c r="O8" s="275"/>
      <c r="P8" s="277"/>
      <c r="Q8" s="275"/>
      <c r="R8" s="275"/>
      <c r="S8" s="169"/>
    </row>
    <row r="9" spans="1:22" x14ac:dyDescent="0.25">
      <c r="A9" s="124">
        <v>4</v>
      </c>
      <c r="B9" s="275" t="s">
        <v>70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 t="str">
        <f>IF(H9="","",(VLOOKUP(H9,'Reference List'!$B$3:$F$202,5,FALSE)))</f>
        <v/>
      </c>
      <c r="K9" s="275"/>
      <c r="L9" s="275"/>
      <c r="M9" s="275"/>
      <c r="N9" s="275"/>
      <c r="O9" s="275"/>
      <c r="P9" s="277"/>
      <c r="Q9" s="277"/>
      <c r="R9" s="275"/>
      <c r="S9" s="169"/>
    </row>
    <row r="10" spans="1:22" x14ac:dyDescent="0.25">
      <c r="A10" s="124">
        <v>5</v>
      </c>
      <c r="B10" s="275" t="s">
        <v>71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 t="str">
        <f>IF(H10="","",(VLOOKUP(H10,'Reference List'!$B$3:$F$202,5,FALSE)))</f>
        <v/>
      </c>
      <c r="K10" s="275"/>
      <c r="L10" s="275"/>
      <c r="M10" s="275"/>
      <c r="N10" s="275"/>
      <c r="O10" s="275"/>
      <c r="P10" s="277"/>
      <c r="Q10" s="277"/>
      <c r="R10" s="275"/>
      <c r="S10" s="169"/>
    </row>
    <row r="11" spans="1:22" x14ac:dyDescent="0.25">
      <c r="A11" s="124">
        <v>6</v>
      </c>
      <c r="B11" s="275" t="s">
        <v>72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 t="str">
        <f>IF(H11="","",(VLOOKUP(H11,'Reference List'!$B$3:$F$202,5,FALSE)))</f>
        <v/>
      </c>
      <c r="K11" s="275"/>
      <c r="L11" s="275"/>
      <c r="M11" s="275"/>
      <c r="N11" s="275"/>
      <c r="O11" s="275"/>
      <c r="P11" s="277"/>
      <c r="Q11" s="277"/>
      <c r="R11" s="275"/>
      <c r="S11" s="169"/>
    </row>
    <row r="12" spans="1:22" x14ac:dyDescent="0.25">
      <c r="A12" s="124">
        <v>7</v>
      </c>
      <c r="B12" s="275" t="s">
        <v>73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 t="str">
        <f>IF(H12="","",(VLOOKUP(H12,'Reference List'!$B$3:$F$202,5,FALSE)))</f>
        <v/>
      </c>
      <c r="K12" s="275"/>
      <c r="L12" s="275"/>
      <c r="M12" s="275"/>
      <c r="N12" s="275"/>
      <c r="O12" s="275"/>
      <c r="P12" s="277"/>
      <c r="Q12" s="277"/>
      <c r="R12" s="275"/>
      <c r="S12" s="169"/>
    </row>
    <row r="13" spans="1:22" x14ac:dyDescent="0.25">
      <c r="A13" s="124">
        <v>8</v>
      </c>
      <c r="B13" s="275" t="s">
        <v>74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 t="str">
        <f>IF(H13="","",(VLOOKUP(H13,'Reference List'!$B$3:$F$202,5,FALSE)))</f>
        <v/>
      </c>
      <c r="K13" s="275"/>
      <c r="L13" s="275"/>
      <c r="M13" s="275"/>
      <c r="N13" s="275"/>
      <c r="O13" s="275"/>
      <c r="P13" s="275"/>
      <c r="Q13" s="275"/>
      <c r="R13" s="275"/>
      <c r="S13" s="169"/>
    </row>
    <row r="14" spans="1:22" x14ac:dyDescent="0.25">
      <c r="A14" s="124">
        <v>9</v>
      </c>
      <c r="B14" s="275" t="s">
        <v>75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 t="str">
        <f>IF(H14="","",(VLOOKUP(H14,'Reference List'!$B$3:$F$202,5,FALSE)))</f>
        <v/>
      </c>
      <c r="K14" s="275"/>
      <c r="L14" s="275"/>
      <c r="M14" s="275"/>
      <c r="N14" s="275"/>
      <c r="O14" s="275"/>
      <c r="P14" s="275"/>
      <c r="Q14" s="275"/>
      <c r="R14" s="275"/>
      <c r="S14" s="169"/>
    </row>
    <row r="15" spans="1:22" x14ac:dyDescent="0.25">
      <c r="A15" s="124">
        <v>10</v>
      </c>
      <c r="B15" s="275" t="s">
        <v>76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 t="str">
        <f>IF(H15="","",(VLOOKUP(H15,'Reference List'!$B$3:$F$202,5,FALSE)))</f>
        <v/>
      </c>
      <c r="K15" s="275"/>
      <c r="L15" s="275"/>
      <c r="M15" s="275"/>
      <c r="N15" s="275"/>
      <c r="O15" s="275"/>
      <c r="P15" s="275"/>
      <c r="Q15" s="275"/>
      <c r="R15" s="275"/>
      <c r="S15" s="169"/>
    </row>
    <row r="16" spans="1:22" x14ac:dyDescent="0.25">
      <c r="A16" s="124">
        <v>11</v>
      </c>
      <c r="B16" s="275" t="s">
        <v>77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 t="str">
        <f>IF(H16="","",(VLOOKUP(H16,'Reference List'!$B$3:$F$202,5,FALSE)))</f>
        <v/>
      </c>
      <c r="K16" s="275"/>
      <c r="L16" s="275"/>
      <c r="M16" s="275"/>
      <c r="N16" s="275"/>
      <c r="O16" s="275"/>
      <c r="P16" s="275"/>
      <c r="Q16" s="275"/>
      <c r="R16" s="275"/>
      <c r="S16" s="169"/>
    </row>
    <row r="17" spans="1:19" x14ac:dyDescent="0.25">
      <c r="A17" s="124">
        <v>12</v>
      </c>
      <c r="B17" s="275" t="s">
        <v>393</v>
      </c>
      <c r="C17" s="279" t="e">
        <f t="shared" si="0"/>
        <v>#VALUE!</v>
      </c>
      <c r="D17" s="275"/>
      <c r="E17" s="275"/>
      <c r="F17" s="275"/>
      <c r="G17" s="275"/>
      <c r="H17" s="275"/>
      <c r="I17" s="275" t="str">
        <f>IF(H17="","",(VLOOKUP(H17,'Reference List'!$B$3:$D$173,2,FALSE)))</f>
        <v/>
      </c>
      <c r="J17" s="276" t="str">
        <f>IF(H17="","",(VLOOKUP(H17,'Reference List'!$B$3:$F$202,5,FALSE)))</f>
        <v/>
      </c>
      <c r="K17" s="275"/>
      <c r="L17" s="275"/>
      <c r="M17" s="275"/>
      <c r="N17" s="275"/>
      <c r="O17" s="275"/>
      <c r="P17" s="275"/>
      <c r="Q17" s="275"/>
      <c r="R17" s="275"/>
      <c r="S17" s="169"/>
    </row>
    <row r="18" spans="1:19" ht="15.75" thickBot="1" x14ac:dyDescent="0.3">
      <c r="A18" s="124">
        <v>13</v>
      </c>
      <c r="B18" s="275" t="s">
        <v>394</v>
      </c>
      <c r="C18" s="279" t="e">
        <f t="shared" si="0"/>
        <v>#VALUE!</v>
      </c>
      <c r="D18" s="275"/>
      <c r="E18" s="275"/>
      <c r="F18" s="275"/>
      <c r="G18" s="275"/>
      <c r="H18" s="275"/>
      <c r="I18" s="275" t="str">
        <f>IF(H18="","",(VLOOKUP(H18,'Reference List'!$B$3:$D$173,2,FALSE)))</f>
        <v/>
      </c>
      <c r="J18" s="276" t="str">
        <f>IF(H18="","",(VLOOKUP(H18,'Reference List'!$B$3:$F$202,5,FALSE)))</f>
        <v/>
      </c>
      <c r="K18" s="275"/>
      <c r="L18" s="275"/>
      <c r="M18" s="275"/>
      <c r="N18" s="275"/>
      <c r="O18" s="275"/>
      <c r="P18" s="275"/>
      <c r="Q18" s="275"/>
      <c r="R18" s="275"/>
      <c r="S18" s="169"/>
    </row>
    <row r="19" spans="1:19" ht="15.75" thickBot="1" x14ac:dyDescent="0.3">
      <c r="A19" s="185"/>
      <c r="B19" s="194"/>
      <c r="C19" s="194"/>
      <c r="D19" s="195"/>
      <c r="E19" s="196"/>
      <c r="F19" s="187"/>
      <c r="G19" s="187"/>
      <c r="H19" s="187"/>
      <c r="I19" s="188"/>
      <c r="J19" s="187"/>
      <c r="K19" s="187"/>
      <c r="L19" s="187"/>
      <c r="M19" s="187"/>
      <c r="N19" s="187"/>
      <c r="O19" s="187"/>
      <c r="P19" s="187"/>
      <c r="Q19" s="187"/>
      <c r="R19" s="188"/>
      <c r="S19" s="189"/>
    </row>
    <row r="20" spans="1:19" ht="23.25" customHeight="1" thickBot="1" x14ac:dyDescent="0.3">
      <c r="A20" s="159"/>
      <c r="B20" s="160"/>
      <c r="C20" s="161"/>
      <c r="D20" s="162"/>
      <c r="E20" s="162"/>
      <c r="F20" s="163"/>
      <c r="G20" s="164"/>
      <c r="H20" s="331" t="s">
        <v>486</v>
      </c>
      <c r="I20" s="332"/>
      <c r="J20" s="165"/>
      <c r="K20" s="162"/>
      <c r="L20" s="162"/>
      <c r="M20" s="162"/>
      <c r="N20" s="162"/>
      <c r="O20" s="162"/>
      <c r="P20" s="162"/>
      <c r="Q20" s="162"/>
      <c r="R20" s="166"/>
      <c r="S20" s="151" t="s">
        <v>52</v>
      </c>
    </row>
    <row r="21" spans="1:19" ht="25.5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35">
        <v>19</v>
      </c>
      <c r="B22" s="275" t="s">
        <v>395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7"/>
      <c r="R22" s="275"/>
      <c r="S22" s="169"/>
    </row>
    <row r="23" spans="1:19" x14ac:dyDescent="0.25">
      <c r="A23" s="135">
        <v>20</v>
      </c>
      <c r="B23" s="275" t="s">
        <v>396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77"/>
      <c r="Q23" s="275"/>
      <c r="R23" s="275"/>
      <c r="S23" s="168"/>
    </row>
    <row r="24" spans="1:19" x14ac:dyDescent="0.25">
      <c r="A24" s="124">
        <v>21</v>
      </c>
      <c r="B24" s="275" t="s">
        <v>397</v>
      </c>
      <c r="C24" s="279" t="e">
        <f t="shared" si="1"/>
        <v>#VALUE!</v>
      </c>
      <c r="D24" s="275"/>
      <c r="E24" s="275"/>
      <c r="F24" s="275"/>
      <c r="G24" s="275"/>
      <c r="H24" s="275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7"/>
      <c r="R24" s="275"/>
      <c r="S24" s="168"/>
    </row>
    <row r="25" spans="1:19" x14ac:dyDescent="0.25">
      <c r="A25" s="124">
        <v>22</v>
      </c>
      <c r="B25" s="275" t="s">
        <v>398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7"/>
      <c r="Q25" s="277"/>
      <c r="R25" s="275"/>
      <c r="S25" s="168"/>
    </row>
    <row r="26" spans="1:19" x14ac:dyDescent="0.25">
      <c r="A26" s="135">
        <v>23</v>
      </c>
      <c r="B26" s="275" t="s">
        <v>399</v>
      </c>
      <c r="C26" s="279" t="e">
        <f t="shared" si="1"/>
        <v>#VALUE!</v>
      </c>
      <c r="D26" s="275"/>
      <c r="E26" s="275"/>
      <c r="F26" s="275"/>
      <c r="G26" s="275"/>
      <c r="H26" s="275"/>
      <c r="I26" s="275" t="str">
        <f>IF(H26="","",(VLOOKUP(H26,'Reference List'!$B$3:$D$173,2,FALSE)))</f>
        <v/>
      </c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7"/>
      <c r="Q26" s="277"/>
      <c r="R26" s="275"/>
      <c r="S26" s="168"/>
    </row>
    <row r="27" spans="1:19" x14ac:dyDescent="0.25">
      <c r="A27" s="124">
        <v>24</v>
      </c>
      <c r="B27" s="275" t="s">
        <v>400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5"/>
      <c r="Q27" s="275"/>
      <c r="R27" s="275"/>
      <c r="S27" s="168"/>
    </row>
    <row r="28" spans="1:19" x14ac:dyDescent="0.25">
      <c r="A28" s="124">
        <v>25</v>
      </c>
      <c r="B28" s="275" t="s">
        <v>401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5"/>
      <c r="Q28" s="275"/>
      <c r="R28" s="275"/>
      <c r="S28" s="168"/>
    </row>
    <row r="29" spans="1:19" x14ac:dyDescent="0.25">
      <c r="A29" s="135">
        <v>26</v>
      </c>
      <c r="B29" s="275" t="s">
        <v>402</v>
      </c>
      <c r="C29" s="279" t="e">
        <f t="shared" si="1"/>
        <v>#VALUE!</v>
      </c>
      <c r="D29" s="275"/>
      <c r="E29" s="275"/>
      <c r="F29" s="275"/>
      <c r="G29" s="275"/>
      <c r="H29" s="275"/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5"/>
      <c r="Q29" s="275"/>
      <c r="R29" s="275"/>
      <c r="S29" s="168"/>
    </row>
    <row r="30" spans="1:19" x14ac:dyDescent="0.25">
      <c r="A30" s="124">
        <v>27</v>
      </c>
      <c r="B30" s="275" t="s">
        <v>403</v>
      </c>
      <c r="C30" s="279" t="e">
        <f t="shared" si="1"/>
        <v>#VALUE!</v>
      </c>
      <c r="D30" s="275"/>
      <c r="E30" s="275"/>
      <c r="F30" s="275"/>
      <c r="G30" s="275"/>
      <c r="H30" s="275"/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5"/>
      <c r="Q30" s="275"/>
      <c r="R30" s="275"/>
      <c r="S30" s="168"/>
    </row>
    <row r="31" spans="1:19" x14ac:dyDescent="0.25">
      <c r="A31" s="124">
        <v>28</v>
      </c>
      <c r="B31" s="275" t="s">
        <v>404</v>
      </c>
      <c r="C31" s="279" t="e">
        <f t="shared" si="1"/>
        <v>#VALUE!</v>
      </c>
      <c r="D31" s="275"/>
      <c r="E31" s="275"/>
      <c r="F31" s="275"/>
      <c r="G31" s="275"/>
      <c r="H31" s="275" t="str">
        <f>IF(G31="","",(VLOOKUP(G31,'Reference List'!$B$3:$D$173,2,FALSE)))</f>
        <v/>
      </c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5"/>
      <c r="Q31" s="275"/>
      <c r="R31" s="275"/>
      <c r="S31" s="168"/>
    </row>
    <row r="32" spans="1:19" x14ac:dyDescent="0.25">
      <c r="A32" s="135">
        <v>29</v>
      </c>
      <c r="B32" s="275" t="s">
        <v>405</v>
      </c>
      <c r="C32" s="279" t="e">
        <f t="shared" si="1"/>
        <v>#VALUE!</v>
      </c>
      <c r="D32" s="275"/>
      <c r="E32" s="275"/>
      <c r="F32" s="275"/>
      <c r="G32" s="275"/>
      <c r="H32" s="275" t="str">
        <f>IF(G32="","",(VLOOKUP(G32,'Reference List'!$B$3:$D$173,2,FALSE)))</f>
        <v/>
      </c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5"/>
      <c r="Q32" s="275"/>
      <c r="R32" s="275"/>
      <c r="S32" s="168"/>
    </row>
    <row r="33" spans="1:19" x14ac:dyDescent="0.25">
      <c r="A33" s="124">
        <v>30</v>
      </c>
      <c r="B33" s="275" t="s">
        <v>406</v>
      </c>
      <c r="C33" s="279" t="e">
        <f t="shared" si="1"/>
        <v>#VALUE!</v>
      </c>
      <c r="D33" s="275"/>
      <c r="E33" s="275"/>
      <c r="F33" s="275"/>
      <c r="G33" s="275"/>
      <c r="H33" s="275" t="str">
        <f>IF(G33="","",(VLOOKUP(G33,'Reference List'!$B$3:$D$173,2,FALSE)))</f>
        <v/>
      </c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75"/>
      <c r="Q33" s="275"/>
      <c r="R33" s="275"/>
      <c r="S33" s="168"/>
    </row>
    <row r="34" spans="1:19" x14ac:dyDescent="0.25">
      <c r="A34" s="124">
        <v>31</v>
      </c>
      <c r="B34" s="275" t="s">
        <v>407</v>
      </c>
      <c r="C34" s="279" t="e">
        <f t="shared" si="1"/>
        <v>#VALUE!</v>
      </c>
      <c r="D34" s="275"/>
      <c r="E34" s="275"/>
      <c r="F34" s="275"/>
      <c r="G34" s="275"/>
      <c r="H34" s="275" t="str">
        <f>IF(G34="","",(VLOOKUP(G34,'Reference List'!$B$3:$D$173,2,FALSE)))</f>
        <v/>
      </c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5"/>
      <c r="Q34" s="275"/>
      <c r="R34" s="275"/>
      <c r="S34" s="168"/>
    </row>
    <row r="35" spans="1:19" x14ac:dyDescent="0.25">
      <c r="A35" s="135">
        <v>32</v>
      </c>
      <c r="B35" s="275" t="s">
        <v>408</v>
      </c>
      <c r="C35" s="279" t="e">
        <f t="shared" si="1"/>
        <v>#VALUE!</v>
      </c>
      <c r="D35" s="275"/>
      <c r="E35" s="275"/>
      <c r="F35" s="275"/>
      <c r="G35" s="275"/>
      <c r="H35" s="275" t="str">
        <f>IF(G35="","",(VLOOKUP(G35,'Reference List'!$B$3:$D$173,2,FALSE)))</f>
        <v/>
      </c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5"/>
      <c r="Q35" s="275"/>
      <c r="R35" s="275"/>
      <c r="S35" s="168"/>
    </row>
    <row r="36" spans="1:19" x14ac:dyDescent="0.25">
      <c r="A36" s="124">
        <v>33</v>
      </c>
      <c r="B36" s="275" t="s">
        <v>409</v>
      </c>
      <c r="C36" s="279" t="e">
        <f t="shared" si="1"/>
        <v>#VALUE!</v>
      </c>
      <c r="D36" s="275"/>
      <c r="E36" s="275"/>
      <c r="F36" s="275"/>
      <c r="G36" s="275"/>
      <c r="H36" s="275" t="str">
        <f>IF(G36="","",(VLOOKUP(G36,'Reference List'!$B$3:$D$173,2,FALSE)))</f>
        <v/>
      </c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75"/>
      <c r="Q36" s="275"/>
      <c r="R36" s="275"/>
      <c r="S36" s="168"/>
    </row>
    <row r="37" spans="1:19" x14ac:dyDescent="0.25">
      <c r="A37" s="124">
        <v>34</v>
      </c>
      <c r="B37" s="275" t="s">
        <v>410</v>
      </c>
      <c r="C37" s="279" t="e">
        <f t="shared" si="1"/>
        <v>#VALUE!</v>
      </c>
      <c r="D37" s="275"/>
      <c r="E37" s="275"/>
      <c r="F37" s="275"/>
      <c r="G37" s="275"/>
      <c r="H37" s="275" t="str">
        <f>IF(G37="","",(VLOOKUP(G37,'Reference List'!$B$3:$D$173,2,FALSE)))</f>
        <v/>
      </c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5"/>
      <c r="Q37" s="275"/>
      <c r="R37" s="275"/>
      <c r="S37" s="168"/>
    </row>
    <row r="38" spans="1:19" x14ac:dyDescent="0.25">
      <c r="A38" s="135">
        <v>35</v>
      </c>
      <c r="B38" s="275" t="s">
        <v>411</v>
      </c>
      <c r="C38" s="279" t="e">
        <f t="shared" si="1"/>
        <v>#VALUE!</v>
      </c>
      <c r="D38" s="275"/>
      <c r="E38" s="275"/>
      <c r="F38" s="275"/>
      <c r="G38" s="275"/>
      <c r="H38" s="275" t="str">
        <f>IF(G38="","",(VLOOKUP(G38,'Reference List'!$B$3:$D$173,2,FALSE)))</f>
        <v/>
      </c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5"/>
      <c r="Q38" s="275"/>
      <c r="R38" s="275"/>
      <c r="S38" s="168"/>
    </row>
    <row r="39" spans="1:19" x14ac:dyDescent="0.25">
      <c r="A39" s="124">
        <v>36</v>
      </c>
      <c r="B39" s="275" t="s">
        <v>412</v>
      </c>
      <c r="C39" s="279" t="e">
        <f t="shared" si="1"/>
        <v>#VALUE!</v>
      </c>
      <c r="D39" s="275"/>
      <c r="E39" s="275"/>
      <c r="F39" s="275"/>
      <c r="G39" s="275"/>
      <c r="H39" s="275" t="str">
        <f>IF(G39="","",(VLOOKUP(G39,'Reference List'!$B$3:$D$173,2,FALSE)))</f>
        <v/>
      </c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5"/>
      <c r="Q39" s="275"/>
      <c r="R39" s="275"/>
      <c r="S39" s="168"/>
    </row>
    <row r="40" spans="1:19" x14ac:dyDescent="0.25">
      <c r="A40" s="124">
        <v>37</v>
      </c>
      <c r="B40" s="275" t="s">
        <v>413</v>
      </c>
      <c r="C40" s="279" t="e">
        <f t="shared" si="1"/>
        <v>#VALUE!</v>
      </c>
      <c r="D40" s="275"/>
      <c r="E40" s="275"/>
      <c r="F40" s="275"/>
      <c r="G40" s="275"/>
      <c r="H40" s="275" t="str">
        <f>IF(G40="","",(VLOOKUP(G40,'Reference List'!$B$3:$D$173,2,FALSE)))</f>
        <v/>
      </c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5"/>
      <c r="Q40" s="275"/>
      <c r="R40" s="275"/>
      <c r="S40" s="168"/>
    </row>
    <row r="41" spans="1:19" x14ac:dyDescent="0.25">
      <c r="A41" s="135">
        <v>38</v>
      </c>
      <c r="B41" s="275" t="s">
        <v>414</v>
      </c>
      <c r="C41" s="279" t="e">
        <f t="shared" si="1"/>
        <v>#VALUE!</v>
      </c>
      <c r="D41" s="275"/>
      <c r="E41" s="275"/>
      <c r="F41" s="275"/>
      <c r="G41" s="275"/>
      <c r="H41" s="275" t="str">
        <f>IF(G41="","",(VLOOKUP(G41,'Reference List'!$B$3:$D$173,2,FALSE)))</f>
        <v/>
      </c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5"/>
      <c r="Q41" s="275"/>
      <c r="R41" s="275"/>
      <c r="S41" s="168"/>
    </row>
    <row r="42" spans="1:19" x14ac:dyDescent="0.25">
      <c r="A42" s="124">
        <v>39</v>
      </c>
      <c r="B42" s="275" t="s">
        <v>415</v>
      </c>
      <c r="C42" s="279" t="e">
        <f t="shared" si="1"/>
        <v>#VALUE!</v>
      </c>
      <c r="D42" s="275"/>
      <c r="E42" s="275"/>
      <c r="F42" s="275"/>
      <c r="G42" s="275"/>
      <c r="H42" s="275" t="str">
        <f>IF(G42="","",(VLOOKUP(G42,'Reference List'!$B$3:$D$168,2,FALSE)))</f>
        <v/>
      </c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5"/>
      <c r="Q42" s="275"/>
      <c r="R42" s="275"/>
      <c r="S42" s="168"/>
    </row>
    <row r="43" spans="1:19" x14ac:dyDescent="0.25">
      <c r="A43" s="124">
        <v>40</v>
      </c>
      <c r="B43" s="275" t="s">
        <v>416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5"/>
      <c r="Q43" s="275"/>
      <c r="R43" s="275"/>
      <c r="S43" s="168"/>
    </row>
    <row r="44" spans="1:19" x14ac:dyDescent="0.25">
      <c r="A44" s="135">
        <v>41</v>
      </c>
      <c r="B44" s="275" t="s">
        <v>417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5"/>
      <c r="Q44" s="275"/>
      <c r="R44" s="275"/>
      <c r="S44" s="168"/>
    </row>
    <row r="45" spans="1:19" x14ac:dyDescent="0.25">
      <c r="A45" s="124">
        <v>42</v>
      </c>
      <c r="B45" s="275" t="s">
        <v>418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5"/>
      <c r="Q45" s="275"/>
      <c r="R45" s="275"/>
      <c r="S45" s="168"/>
    </row>
    <row r="46" spans="1:19" x14ac:dyDescent="0.25">
      <c r="A46" s="124">
        <v>43</v>
      </c>
      <c r="B46" s="275" t="s">
        <v>419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5"/>
      <c r="Q46" s="275"/>
      <c r="R46" s="275"/>
      <c r="S46" s="168"/>
    </row>
    <row r="47" spans="1:19" x14ac:dyDescent="0.25">
      <c r="A47" s="135">
        <v>44</v>
      </c>
      <c r="B47" s="275" t="s">
        <v>420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8"/>
    </row>
    <row r="48" spans="1:19" x14ac:dyDescent="0.25">
      <c r="A48" s="124">
        <v>45</v>
      </c>
      <c r="B48" s="275" t="s">
        <v>421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8"/>
    </row>
    <row r="49" spans="1:19" x14ac:dyDescent="0.25">
      <c r="A49" s="124">
        <v>46</v>
      </c>
      <c r="B49" s="275" t="s">
        <v>422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8"/>
    </row>
    <row r="50" spans="1:19" x14ac:dyDescent="0.25">
      <c r="A50" s="135">
        <v>47</v>
      </c>
      <c r="B50" s="275" t="s">
        <v>423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8"/>
    </row>
    <row r="51" spans="1:19" x14ac:dyDescent="0.25">
      <c r="A51" s="124">
        <v>48</v>
      </c>
      <c r="B51" s="275" t="s">
        <v>424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8"/>
    </row>
    <row r="52" spans="1:19" x14ac:dyDescent="0.25">
      <c r="A52" s="124">
        <v>49</v>
      </c>
      <c r="B52" s="275" t="s">
        <v>425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8"/>
    </row>
    <row r="53" spans="1:19" x14ac:dyDescent="0.25">
      <c r="A53" s="135">
        <v>50</v>
      </c>
      <c r="B53" s="275" t="s">
        <v>426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8"/>
    </row>
    <row r="54" spans="1:19" x14ac:dyDescent="0.25">
      <c r="A54" s="124">
        <v>51</v>
      </c>
      <c r="B54" s="275" t="s">
        <v>427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8"/>
    </row>
    <row r="55" spans="1:19" x14ac:dyDescent="0.25">
      <c r="A55" s="124">
        <v>52</v>
      </c>
      <c r="B55" s="275" t="s">
        <v>428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8"/>
    </row>
    <row r="56" spans="1:19" x14ac:dyDescent="0.25">
      <c r="A56" s="135">
        <v>53</v>
      </c>
      <c r="B56" s="275" t="s">
        <v>429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8"/>
    </row>
    <row r="57" spans="1:19" x14ac:dyDescent="0.25">
      <c r="A57" s="124">
        <v>54</v>
      </c>
      <c r="B57" s="275" t="s">
        <v>430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68"/>
    </row>
    <row r="58" spans="1:19" x14ac:dyDescent="0.25">
      <c r="A58" s="124">
        <v>55</v>
      </c>
      <c r="B58" s="275" t="s">
        <v>431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68"/>
    </row>
    <row r="59" spans="1:19" x14ac:dyDescent="0.25">
      <c r="A59" s="135">
        <v>56</v>
      </c>
      <c r="B59" s="275" t="s">
        <v>432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68"/>
    </row>
    <row r="60" spans="1:19" x14ac:dyDescent="0.25">
      <c r="A60" s="124">
        <v>57</v>
      </c>
      <c r="B60" s="275" t="s">
        <v>433</v>
      </c>
      <c r="C60" s="279" t="e">
        <f t="shared" si="1"/>
        <v>#VALUE!</v>
      </c>
      <c r="D60" s="275"/>
      <c r="E60" s="275"/>
      <c r="F60" s="275"/>
      <c r="G60" s="275"/>
      <c r="H60" s="275"/>
      <c r="I60" s="275"/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68"/>
    </row>
    <row r="61" spans="1:19" x14ac:dyDescent="0.25">
      <c r="A61" s="124">
        <v>58</v>
      </c>
      <c r="B61" s="275" t="s">
        <v>434</v>
      </c>
      <c r="C61" s="279" t="e">
        <f t="shared" si="1"/>
        <v>#VALUE!</v>
      </c>
      <c r="D61" s="275"/>
      <c r="E61" s="275"/>
      <c r="F61" s="275"/>
      <c r="G61" s="275"/>
      <c r="H61" s="275"/>
      <c r="I61" s="275"/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68"/>
    </row>
    <row r="62" spans="1:19" x14ac:dyDescent="0.25">
      <c r="A62" s="135">
        <v>59</v>
      </c>
      <c r="B62" s="275" t="s">
        <v>435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68"/>
    </row>
    <row r="63" spans="1:19" x14ac:dyDescent="0.25">
      <c r="A63" s="124">
        <v>60</v>
      </c>
      <c r="B63" s="275" t="s">
        <v>436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 t="str">
        <f>IF(H63="","",(VLOOKUP(H63,'Reference List'!$B$3:$F$202,5,FALSE)))</f>
        <v/>
      </c>
      <c r="K63" s="275"/>
      <c r="L63" s="275"/>
      <c r="M63" s="275"/>
      <c r="N63" s="275"/>
      <c r="O63" s="275"/>
      <c r="P63" s="275"/>
      <c r="Q63" s="275"/>
      <c r="R63" s="275"/>
      <c r="S63" s="168"/>
    </row>
    <row r="64" spans="1:19" x14ac:dyDescent="0.25">
      <c r="A64" s="124">
        <v>61</v>
      </c>
      <c r="B64" s="275" t="s">
        <v>437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 t="str">
        <f>IF(H64="","",(VLOOKUP(H64,'Reference List'!$B$3:$F$202,5,FALSE)))</f>
        <v/>
      </c>
      <c r="K64" s="275"/>
      <c r="L64" s="275"/>
      <c r="M64" s="275"/>
      <c r="N64" s="275"/>
      <c r="O64" s="275"/>
      <c r="P64" s="275"/>
      <c r="Q64" s="275"/>
      <c r="R64" s="275"/>
      <c r="S64" s="168"/>
    </row>
    <row r="65" spans="1:19" x14ac:dyDescent="0.25">
      <c r="A65" s="135">
        <v>62</v>
      </c>
      <c r="B65" s="275" t="s">
        <v>438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 t="str">
        <f>IF(H65="","",(VLOOKUP(H65,'Reference List'!$B$3:$F$202,5,FALSE)))</f>
        <v/>
      </c>
      <c r="K65" s="275"/>
      <c r="L65" s="275"/>
      <c r="M65" s="275"/>
      <c r="N65" s="275"/>
      <c r="O65" s="275"/>
      <c r="P65" s="275"/>
      <c r="Q65" s="275"/>
      <c r="R65" s="275"/>
      <c r="S65" s="168"/>
    </row>
    <row r="66" spans="1:19" x14ac:dyDescent="0.25">
      <c r="A66" s="124">
        <v>63</v>
      </c>
      <c r="B66" s="275" t="s">
        <v>439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 t="str">
        <f>IF(H66="","",(VLOOKUP(H66,'Reference List'!$B$3:$F$202,5,FALSE)))</f>
        <v/>
      </c>
      <c r="K66" s="275"/>
      <c r="L66" s="275"/>
      <c r="M66" s="275"/>
      <c r="N66" s="275"/>
      <c r="O66" s="275"/>
      <c r="P66" s="275"/>
      <c r="Q66" s="275"/>
      <c r="R66" s="275"/>
      <c r="S66" s="130"/>
    </row>
    <row r="67" spans="1:19" x14ac:dyDescent="0.25">
      <c r="A67" s="124">
        <v>64</v>
      </c>
      <c r="B67" s="275" t="s">
        <v>440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 t="str">
        <f>IF(H67="","",(VLOOKUP(H67,'Reference List'!$B$3:$F$202,5,FALSE)))</f>
        <v/>
      </c>
      <c r="K67" s="275"/>
      <c r="L67" s="275"/>
      <c r="M67" s="275"/>
      <c r="N67" s="275"/>
      <c r="O67" s="275"/>
      <c r="P67" s="275"/>
      <c r="Q67" s="275"/>
      <c r="R67" s="275"/>
      <c r="S67" s="130"/>
    </row>
    <row r="68" spans="1:19" x14ac:dyDescent="0.25">
      <c r="A68" s="135">
        <v>65</v>
      </c>
      <c r="B68" s="275" t="s">
        <v>441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 t="str">
        <f>IF(H68="","",(VLOOKUP(H68,'Reference List'!$B$3:$F$202,5,FALSE)))</f>
        <v/>
      </c>
      <c r="K68" s="275"/>
      <c r="L68" s="275"/>
      <c r="M68" s="275"/>
      <c r="N68" s="275"/>
      <c r="O68" s="275"/>
      <c r="P68" s="275"/>
      <c r="Q68" s="275"/>
      <c r="R68" s="275"/>
      <c r="S68" s="130"/>
    </row>
    <row r="69" spans="1:19" x14ac:dyDescent="0.25">
      <c r="A69" s="124">
        <v>66</v>
      </c>
      <c r="B69" s="275" t="s">
        <v>442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 t="str">
        <f>IF(H69="","",(VLOOKUP(H69,'Reference List'!$B$3:$F$202,5,FALSE)))</f>
        <v/>
      </c>
      <c r="K69" s="275"/>
      <c r="L69" s="275"/>
      <c r="M69" s="275"/>
      <c r="N69" s="275"/>
      <c r="O69" s="275"/>
      <c r="P69" s="275"/>
      <c r="Q69" s="275"/>
      <c r="R69" s="275"/>
      <c r="S69" s="130"/>
    </row>
    <row r="70" spans="1:19" x14ac:dyDescent="0.25">
      <c r="A70" s="124">
        <v>67</v>
      </c>
      <c r="B70" s="275" t="s">
        <v>443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 t="str">
        <f>IF(H70="","",(VLOOKUP(H70,'Reference List'!$B$3:$F$202,5,FALSE)))</f>
        <v/>
      </c>
      <c r="K70" s="275"/>
      <c r="L70" s="275"/>
      <c r="M70" s="275"/>
      <c r="N70" s="275"/>
      <c r="O70" s="275"/>
      <c r="P70" s="275"/>
      <c r="Q70" s="275"/>
      <c r="R70" s="275"/>
      <c r="S70" s="130"/>
    </row>
    <row r="71" spans="1:19" x14ac:dyDescent="0.25">
      <c r="A71" s="135">
        <v>68</v>
      </c>
      <c r="B71" s="275" t="s">
        <v>444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 t="str">
        <f>IF(H71="","",(VLOOKUP(H71,'Reference List'!$B$3:$F$202,5,FALSE)))</f>
        <v/>
      </c>
      <c r="K71" s="275"/>
      <c r="L71" s="275"/>
      <c r="M71" s="275"/>
      <c r="N71" s="275"/>
      <c r="O71" s="275"/>
      <c r="P71" s="275"/>
      <c r="Q71" s="275"/>
      <c r="R71" s="275"/>
      <c r="S71" s="130"/>
    </row>
    <row r="72" spans="1:19" x14ac:dyDescent="0.25">
      <c r="A72" s="124">
        <v>69</v>
      </c>
      <c r="B72" s="275" t="s">
        <v>445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 t="str">
        <f>IF(H72="","",(VLOOKUP(H72,'Reference List'!$B$3:$F$202,5,FALSE)))</f>
        <v/>
      </c>
      <c r="K72" s="275"/>
      <c r="L72" s="275"/>
      <c r="M72" s="275"/>
      <c r="N72" s="275"/>
      <c r="O72" s="275"/>
      <c r="P72" s="275"/>
      <c r="Q72" s="275"/>
      <c r="R72" s="275"/>
      <c r="S72" s="130"/>
    </row>
    <row r="73" spans="1:19" x14ac:dyDescent="0.25">
      <c r="A73" s="124">
        <v>70</v>
      </c>
      <c r="B73" s="275" t="s">
        <v>446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 t="str">
        <f>IF(H73="","",(VLOOKUP(H73,'Reference List'!$B$3:$F$202,5,FALSE)))</f>
        <v/>
      </c>
      <c r="K73" s="275"/>
      <c r="L73" s="275"/>
      <c r="M73" s="275"/>
      <c r="N73" s="275"/>
      <c r="O73" s="275"/>
      <c r="P73" s="275"/>
      <c r="Q73" s="275"/>
      <c r="R73" s="275"/>
      <c r="S73" s="130"/>
    </row>
    <row r="74" spans="1:19" x14ac:dyDescent="0.25">
      <c r="A74" s="135">
        <v>71</v>
      </c>
      <c r="B74" s="275" t="s">
        <v>447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 t="str">
        <f>IF(H74="","",(VLOOKUP(H74,'Reference List'!$B$3:$F$202,5,FALSE)))</f>
        <v/>
      </c>
      <c r="K74" s="275"/>
      <c r="L74" s="275"/>
      <c r="M74" s="275"/>
      <c r="N74" s="275"/>
      <c r="O74" s="275"/>
      <c r="P74" s="275"/>
      <c r="Q74" s="275"/>
      <c r="R74" s="275"/>
      <c r="S74" s="130"/>
    </row>
    <row r="75" spans="1:19" x14ac:dyDescent="0.25">
      <c r="A75" s="124">
        <v>72</v>
      </c>
      <c r="B75" s="275" t="s">
        <v>448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 t="str">
        <f>IF(H75="","",(VLOOKUP(H75,'Reference List'!$B$3:$F$202,5,FALSE)))</f>
        <v/>
      </c>
      <c r="K75" s="275"/>
      <c r="L75" s="275"/>
      <c r="M75" s="275"/>
      <c r="N75" s="275"/>
      <c r="O75" s="275"/>
      <c r="P75" s="275"/>
      <c r="Q75" s="275"/>
      <c r="R75" s="275"/>
      <c r="S75" s="130"/>
    </row>
    <row r="76" spans="1:19" x14ac:dyDescent="0.25">
      <c r="A76" s="124">
        <v>73</v>
      </c>
      <c r="B76" s="275" t="s">
        <v>449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 t="str">
        <f>IF(H76="","",(VLOOKUP(H76,'Reference List'!$B$3:$F$202,5,FALSE)))</f>
        <v/>
      </c>
      <c r="K76" s="275"/>
      <c r="L76" s="275"/>
      <c r="M76" s="275"/>
      <c r="N76" s="275"/>
      <c r="O76" s="275"/>
      <c r="P76" s="275"/>
      <c r="Q76" s="275"/>
      <c r="R76" s="275"/>
      <c r="S76" s="130"/>
    </row>
    <row r="77" spans="1:19" x14ac:dyDescent="0.25">
      <c r="A77" s="135">
        <v>74</v>
      </c>
      <c r="B77" s="275" t="s">
        <v>450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 t="str">
        <f>IF(H77="","",(VLOOKUP(H77,'Reference List'!$B$3:$F$202,5,FALSE)))</f>
        <v/>
      </c>
      <c r="K77" s="275"/>
      <c r="L77" s="275"/>
      <c r="M77" s="275"/>
      <c r="N77" s="275"/>
      <c r="O77" s="275"/>
      <c r="P77" s="275"/>
      <c r="Q77" s="275"/>
      <c r="R77" s="275"/>
      <c r="S77" s="130"/>
    </row>
    <row r="78" spans="1:19" x14ac:dyDescent="0.25">
      <c r="A78" s="124">
        <v>75</v>
      </c>
      <c r="B78" s="275" t="s">
        <v>451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 t="str">
        <f>IF(H78="","",(VLOOKUP(H78,'Reference List'!$B$3:$F$202,5,FALSE)))</f>
        <v/>
      </c>
      <c r="K78" s="275"/>
      <c r="L78" s="275"/>
      <c r="M78" s="275"/>
      <c r="N78" s="275"/>
      <c r="O78" s="275"/>
      <c r="P78" s="275"/>
      <c r="Q78" s="275"/>
      <c r="R78" s="275"/>
      <c r="S78" s="130"/>
    </row>
    <row r="79" spans="1:19" x14ac:dyDescent="0.25">
      <c r="A79" s="124">
        <v>76</v>
      </c>
      <c r="B79" s="275" t="s">
        <v>452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 t="str">
        <f>IF(H79="","",(VLOOKUP(H79,'Reference List'!$B$3:$F$202,5,FALSE)))</f>
        <v/>
      </c>
      <c r="K79" s="275"/>
      <c r="L79" s="275"/>
      <c r="M79" s="275"/>
      <c r="N79" s="275"/>
      <c r="O79" s="275"/>
      <c r="P79" s="275"/>
      <c r="Q79" s="275"/>
      <c r="R79" s="275"/>
      <c r="S79" s="130"/>
    </row>
    <row r="80" spans="1:19" x14ac:dyDescent="0.25">
      <c r="A80" s="135">
        <v>77</v>
      </c>
      <c r="B80" s="275" t="s">
        <v>453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 t="str">
        <f>IF(H80="","",(VLOOKUP(H80,'Reference List'!$B$3:$F$202,5,FALSE)))</f>
        <v/>
      </c>
      <c r="K80" s="275"/>
      <c r="L80" s="275"/>
      <c r="M80" s="275"/>
      <c r="N80" s="275"/>
      <c r="O80" s="275"/>
      <c r="P80" s="275"/>
      <c r="Q80" s="275"/>
      <c r="R80" s="275"/>
      <c r="S80" s="130"/>
    </row>
    <row r="81" spans="1:19" x14ac:dyDescent="0.25">
      <c r="A81" s="124">
        <v>78</v>
      </c>
      <c r="B81" s="275" t="s">
        <v>454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 t="str">
        <f>IF(H81="","",(VLOOKUP(H81,'Reference List'!$B$3:$F$202,5,FALSE)))</f>
        <v/>
      </c>
      <c r="K81" s="275"/>
      <c r="L81" s="275"/>
      <c r="M81" s="275"/>
      <c r="N81" s="275"/>
      <c r="O81" s="275"/>
      <c r="P81" s="275"/>
      <c r="Q81" s="275"/>
      <c r="R81" s="275"/>
      <c r="S81" s="130"/>
    </row>
    <row r="82" spans="1:19" x14ac:dyDescent="0.25">
      <c r="A82" s="124">
        <v>79</v>
      </c>
      <c r="B82" s="275" t="s">
        <v>455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 t="str">
        <f>IF(H82="","",(VLOOKUP(H82,'Reference List'!$B$3:$F$202,5,FALSE)))</f>
        <v/>
      </c>
      <c r="K82" s="275"/>
      <c r="L82" s="275"/>
      <c r="M82" s="275"/>
      <c r="N82" s="275"/>
      <c r="O82" s="275"/>
      <c r="P82" s="275"/>
      <c r="Q82" s="275"/>
      <c r="R82" s="275"/>
      <c r="S82" s="130"/>
    </row>
    <row r="83" spans="1:19" x14ac:dyDescent="0.25">
      <c r="A83" s="135">
        <v>80</v>
      </c>
      <c r="B83" s="275" t="s">
        <v>456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 t="str">
        <f>IF(H83="","",(VLOOKUP(H83,'Reference List'!$B$3:$F$202,5,FALSE)))</f>
        <v/>
      </c>
      <c r="K83" s="275"/>
      <c r="L83" s="275"/>
      <c r="M83" s="275"/>
      <c r="N83" s="275"/>
      <c r="O83" s="275"/>
      <c r="P83" s="275"/>
      <c r="Q83" s="275"/>
      <c r="R83" s="275"/>
      <c r="S83" s="130"/>
    </row>
    <row r="84" spans="1:19" x14ac:dyDescent="0.25">
      <c r="A84" s="124">
        <v>81</v>
      </c>
      <c r="B84" s="275" t="s">
        <v>457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 t="str">
        <f>IF(H84="","",(VLOOKUP(H84,'Reference List'!$B$3:$F$202,5,FALSE)))</f>
        <v/>
      </c>
      <c r="K84" s="275"/>
      <c r="L84" s="275"/>
      <c r="M84" s="275"/>
      <c r="N84" s="275"/>
      <c r="O84" s="275"/>
      <c r="P84" s="275"/>
      <c r="Q84" s="275"/>
      <c r="R84" s="275"/>
      <c r="S84" s="130"/>
    </row>
    <row r="85" spans="1:19" x14ac:dyDescent="0.25">
      <c r="A85" s="124">
        <v>82</v>
      </c>
      <c r="B85" s="275" t="s">
        <v>458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 t="str">
        <f>IF(H85="","",(VLOOKUP(H85,'Reference List'!$B$3:$F$202,5,FALSE)))</f>
        <v/>
      </c>
      <c r="K85" s="275"/>
      <c r="L85" s="275"/>
      <c r="M85" s="275"/>
      <c r="N85" s="275"/>
      <c r="O85" s="275"/>
      <c r="P85" s="275"/>
      <c r="Q85" s="275"/>
      <c r="R85" s="275"/>
      <c r="S85" s="130"/>
    </row>
    <row r="86" spans="1:19" x14ac:dyDescent="0.25">
      <c r="A86" s="135">
        <v>83</v>
      </c>
      <c r="B86" s="275" t="s">
        <v>459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 t="str">
        <f>IF(H86="","",(VLOOKUP(H86,'Reference List'!$B$3:$F$202,5,FALSE)))</f>
        <v/>
      </c>
      <c r="K86" s="275"/>
      <c r="L86" s="275"/>
      <c r="M86" s="275"/>
      <c r="N86" s="275"/>
      <c r="O86" s="275"/>
      <c r="P86" s="275"/>
      <c r="Q86" s="275"/>
      <c r="R86" s="275"/>
      <c r="S86" s="130"/>
    </row>
    <row r="87" spans="1:19" x14ac:dyDescent="0.25">
      <c r="A87" s="124">
        <v>84</v>
      </c>
      <c r="B87" s="275" t="s">
        <v>460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 t="str">
        <f>IF(H87="","",(VLOOKUP(H87,'Reference List'!$B$3:$F$202,5,FALSE)))</f>
        <v/>
      </c>
      <c r="K87" s="275"/>
      <c r="L87" s="275"/>
      <c r="M87" s="275"/>
      <c r="N87" s="275"/>
      <c r="O87" s="275"/>
      <c r="P87" s="275"/>
      <c r="Q87" s="275"/>
      <c r="R87" s="275"/>
      <c r="S87" s="130"/>
    </row>
    <row r="88" spans="1:19" x14ac:dyDescent="0.25">
      <c r="A88" s="124">
        <v>85</v>
      </c>
      <c r="B88" s="275" t="s">
        <v>461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 t="str">
        <f>IF(H88="","",(VLOOKUP(H88,'Reference List'!$B$3:$F$202,5,FALSE)))</f>
        <v/>
      </c>
      <c r="K88" s="275"/>
      <c r="L88" s="275"/>
      <c r="M88" s="275"/>
      <c r="N88" s="275"/>
      <c r="O88" s="275"/>
      <c r="P88" s="275"/>
      <c r="Q88" s="275"/>
      <c r="R88" s="275"/>
      <c r="S88" s="130"/>
    </row>
    <row r="89" spans="1:19" x14ac:dyDescent="0.25">
      <c r="A89" s="135">
        <v>86</v>
      </c>
      <c r="B89" s="275" t="s">
        <v>462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 t="str">
        <f>IF(H89="","",(VLOOKUP(H89,'Reference List'!$B$3:$F$202,5,FALSE)))</f>
        <v/>
      </c>
      <c r="K89" s="275"/>
      <c r="L89" s="275"/>
      <c r="M89" s="275"/>
      <c r="N89" s="275"/>
      <c r="O89" s="275"/>
      <c r="P89" s="275"/>
      <c r="Q89" s="275"/>
      <c r="R89" s="275"/>
      <c r="S89" s="130"/>
    </row>
    <row r="90" spans="1:19" x14ac:dyDescent="0.25">
      <c r="A90" s="124">
        <v>87</v>
      </c>
      <c r="B90" s="275" t="s">
        <v>463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 t="str">
        <f>IF(H90="","",(VLOOKUP(H90,'Reference List'!$B$3:$F$202,5,FALSE)))</f>
        <v/>
      </c>
      <c r="K90" s="275"/>
      <c r="L90" s="275"/>
      <c r="M90" s="275"/>
      <c r="N90" s="275"/>
      <c r="O90" s="275"/>
      <c r="P90" s="275"/>
      <c r="Q90" s="275"/>
      <c r="R90" s="275"/>
      <c r="S90" s="130"/>
    </row>
    <row r="91" spans="1:19" x14ac:dyDescent="0.25">
      <c r="A91" s="124">
        <v>88</v>
      </c>
      <c r="B91" s="275" t="s">
        <v>464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 t="str">
        <f>IF(H91="","",(VLOOKUP(H91,'Reference List'!$B$3:$F$202,5,FALSE)))</f>
        <v/>
      </c>
      <c r="K91" s="275"/>
      <c r="L91" s="275"/>
      <c r="M91" s="275"/>
      <c r="N91" s="275"/>
      <c r="O91" s="275"/>
      <c r="P91" s="275"/>
      <c r="Q91" s="275"/>
      <c r="R91" s="275"/>
      <c r="S91" s="130"/>
    </row>
    <row r="92" spans="1:19" x14ac:dyDescent="0.25">
      <c r="A92" s="135">
        <v>89</v>
      </c>
      <c r="B92" s="275" t="s">
        <v>465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 t="str">
        <f>IF(H92="","",(VLOOKUP(H92,'Reference List'!$B$3:$F$202,5,FALSE)))</f>
        <v/>
      </c>
      <c r="K92" s="275"/>
      <c r="L92" s="275"/>
      <c r="M92" s="275"/>
      <c r="N92" s="275"/>
      <c r="O92" s="275"/>
      <c r="P92" s="275"/>
      <c r="Q92" s="275"/>
      <c r="R92" s="275"/>
      <c r="S92" s="130"/>
    </row>
    <row r="93" spans="1:19" x14ac:dyDescent="0.25">
      <c r="A93" s="124">
        <v>90</v>
      </c>
      <c r="B93" s="275" t="s">
        <v>466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 t="str">
        <f>IF(H93="","",(VLOOKUP(H93,'Reference List'!$B$3:$F$202,5,FALSE)))</f>
        <v/>
      </c>
      <c r="K93" s="275"/>
      <c r="L93" s="275"/>
      <c r="M93" s="275"/>
      <c r="N93" s="275"/>
      <c r="O93" s="275"/>
      <c r="P93" s="275"/>
      <c r="Q93" s="275"/>
      <c r="R93" s="275"/>
      <c r="S93" s="130"/>
    </row>
    <row r="94" spans="1:19" x14ac:dyDescent="0.25">
      <c r="A94" s="124">
        <v>91</v>
      </c>
      <c r="B94" s="275" t="s">
        <v>467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 t="str">
        <f>IF(H94="","",(VLOOKUP(H94,'Reference List'!$B$3:$F$202,5,FALSE)))</f>
        <v/>
      </c>
      <c r="K94" s="275"/>
      <c r="L94" s="275"/>
      <c r="M94" s="275"/>
      <c r="N94" s="275"/>
      <c r="O94" s="275"/>
      <c r="P94" s="275"/>
      <c r="Q94" s="275"/>
      <c r="R94" s="275"/>
      <c r="S94" s="130"/>
    </row>
    <row r="95" spans="1:19" x14ac:dyDescent="0.25">
      <c r="A95" s="135">
        <v>92</v>
      </c>
      <c r="B95" s="275" t="s">
        <v>468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 t="str">
        <f>IF(H95="","",(VLOOKUP(H95,'Reference List'!$B$3:$F$202,5,FALSE)))</f>
        <v/>
      </c>
      <c r="K95" s="275"/>
      <c r="L95" s="275"/>
      <c r="M95" s="275"/>
      <c r="N95" s="275"/>
      <c r="O95" s="275"/>
      <c r="P95" s="275"/>
      <c r="Q95" s="275"/>
      <c r="R95" s="275"/>
      <c r="S95" s="130"/>
    </row>
    <row r="96" spans="1:19" x14ac:dyDescent="0.25">
      <c r="A96" s="124">
        <v>93</v>
      </c>
      <c r="B96" s="275" t="s">
        <v>469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 t="str">
        <f>IF(H96="","",(VLOOKUP(H96,'Reference List'!$B$3:$F$202,5,FALSE)))</f>
        <v/>
      </c>
      <c r="K96" s="275"/>
      <c r="L96" s="275"/>
      <c r="M96" s="275"/>
      <c r="N96" s="275"/>
      <c r="O96" s="275"/>
      <c r="P96" s="275"/>
      <c r="Q96" s="275"/>
      <c r="R96" s="275"/>
      <c r="S96" s="130"/>
    </row>
    <row r="97" spans="1:19" x14ac:dyDescent="0.25">
      <c r="A97" s="124">
        <v>94</v>
      </c>
      <c r="B97" s="275" t="s">
        <v>470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 t="str">
        <f>IF(H97="","",(VLOOKUP(H97,'Reference List'!$B$3:$F$202,5,FALSE)))</f>
        <v/>
      </c>
      <c r="K97" s="275"/>
      <c r="L97" s="275"/>
      <c r="M97" s="275"/>
      <c r="N97" s="275"/>
      <c r="O97" s="275"/>
      <c r="P97" s="275"/>
      <c r="Q97" s="275"/>
      <c r="R97" s="275"/>
      <c r="S97" s="130"/>
    </row>
    <row r="98" spans="1:19" x14ac:dyDescent="0.25">
      <c r="A98" s="135">
        <v>95</v>
      </c>
      <c r="B98" s="275" t="s">
        <v>471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 t="str">
        <f>IF(H98="","",(VLOOKUP(H98,'Reference List'!$B$3:$F$202,5,FALSE)))</f>
        <v/>
      </c>
      <c r="K98" s="275"/>
      <c r="L98" s="275"/>
      <c r="M98" s="275"/>
      <c r="N98" s="275"/>
      <c r="O98" s="275"/>
      <c r="P98" s="275"/>
      <c r="Q98" s="275"/>
      <c r="R98" s="275"/>
      <c r="S98" s="130"/>
    </row>
    <row r="99" spans="1:19" x14ac:dyDescent="0.25">
      <c r="A99" s="124">
        <v>96</v>
      </c>
      <c r="B99" s="275" t="s">
        <v>472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 t="str">
        <f>IF(H99="","",(VLOOKUP(H99,'Reference List'!$B$3:$F$202,5,FALSE)))</f>
        <v/>
      </c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97</v>
      </c>
      <c r="B100" s="275" t="s">
        <v>473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 t="str">
        <f>IF(H100="","",(VLOOKUP(H100,'Reference List'!$B$3:$F$202,5,FALSE)))</f>
        <v/>
      </c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98</v>
      </c>
      <c r="B101" s="275" t="s">
        <v>474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 t="str">
        <f>IF(H101="","",(VLOOKUP(H101,'Reference List'!$B$3:$F$202,5,FALSE)))</f>
        <v/>
      </c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99</v>
      </c>
      <c r="B102" s="275" t="s">
        <v>475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 t="str">
        <f>IF(H102="","",(VLOOKUP(H102,'Reference List'!$B$3:$F$202,5,FALSE)))</f>
        <v/>
      </c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24">
        <v>100</v>
      </c>
      <c r="B103" s="275" t="s">
        <v>813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 t="str">
        <f>IF(H103="","",(VLOOKUP(H103,'Reference List'!$B$3:$F$202,5,FALSE)))</f>
        <v/>
      </c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5">
    <mergeCell ref="Q2:S2"/>
    <mergeCell ref="H4:I4"/>
    <mergeCell ref="H20:I20"/>
    <mergeCell ref="L2:M2"/>
    <mergeCell ref="N2:P2"/>
  </mergeCells>
  <phoneticPr fontId="74" type="noConversion"/>
  <conditionalFormatting sqref="H41 H8:H17">
    <cfRule type="cellIs" dxfId="63" priority="16" operator="equal">
      <formula>#N/A</formula>
    </cfRule>
  </conditionalFormatting>
  <conditionalFormatting sqref="H3 H22:H23 H6 H25:H41">
    <cfRule type="cellIs" dxfId="62" priority="15" operator="equal">
      <formula>#N/A</formula>
    </cfRule>
  </conditionalFormatting>
  <conditionalFormatting sqref="H42">
    <cfRule type="cellIs" dxfId="61" priority="14" operator="equal">
      <formula>#N/A</formula>
    </cfRule>
  </conditionalFormatting>
  <conditionalFormatting sqref="G1:G2">
    <cfRule type="cellIs" dxfId="60" priority="13" operator="equal">
      <formula>#N/A</formula>
    </cfRule>
  </conditionalFormatting>
  <conditionalFormatting sqref="I37:I59 I6:I18">
    <cfRule type="cellIs" dxfId="59" priority="12" operator="equal">
      <formula>#N/A</formula>
    </cfRule>
  </conditionalFormatting>
  <conditionalFormatting sqref="H19">
    <cfRule type="cellIs" dxfId="58" priority="11" operator="equal">
      <formula>#N/A</formula>
    </cfRule>
  </conditionalFormatting>
  <conditionalFormatting sqref="I22:I36">
    <cfRule type="cellIs" dxfId="57" priority="10" operator="equal">
      <formula>#N/A</formula>
    </cfRule>
  </conditionalFormatting>
  <conditionalFormatting sqref="S6:S18">
    <cfRule type="cellIs" dxfId="56" priority="9" operator="equal">
      <formula>"CH"</formula>
    </cfRule>
  </conditionalFormatting>
  <conditionalFormatting sqref="S22:S58">
    <cfRule type="cellIs" dxfId="55" priority="7" operator="equal">
      <formula>"DRY"</formula>
    </cfRule>
    <cfRule type="cellIs" dxfId="54" priority="8" operator="equal">
      <formula>"CHILLER"</formula>
    </cfRule>
  </conditionalFormatting>
  <conditionalFormatting sqref="S6:S18">
    <cfRule type="cellIs" dxfId="53" priority="6" operator="equal">
      <formula>"DRY"</formula>
    </cfRule>
  </conditionalFormatting>
  <conditionalFormatting sqref="H5">
    <cfRule type="cellIs" dxfId="52" priority="5" operator="equal">
      <formula>#N/A</formula>
    </cfRule>
  </conditionalFormatting>
  <conditionalFormatting sqref="H21">
    <cfRule type="cellIs" dxfId="51" priority="4" operator="equal">
      <formula>#N/A</formula>
    </cfRule>
  </conditionalFormatting>
  <conditionalFormatting sqref="H7">
    <cfRule type="cellIs" dxfId="50" priority="3" operator="equal">
      <formula>#N/A</formula>
    </cfRule>
  </conditionalFormatting>
  <conditionalFormatting sqref="H24">
    <cfRule type="cellIs" dxfId="49" priority="2" operator="equal">
      <formula>#N/A</formula>
    </cfRule>
  </conditionalFormatting>
  <conditionalFormatting sqref="H18">
    <cfRule type="cellIs" dxfId="48" priority="1" operator="equal">
      <formula>#N/A</formula>
    </cfRule>
  </conditionalFormatting>
  <dataValidations count="1">
    <dataValidation type="list" allowBlank="1" showInputMessage="1" showErrorMessage="1" sqref="S6:S18 S22:S56" xr:uid="{00000000-0002-0000-0500-000000000000}">
      <formula1>TEMP</formula1>
    </dataValidation>
  </dataValidations>
  <pageMargins left="0.7" right="0.7" top="0.75" bottom="0.75" header="0.3" footer="0.3"/>
  <pageSetup paperSize="9" scale="78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28575</xdr:colOff>
                    <xdr:row>2</xdr:row>
                    <xdr:rowOff>152400</xdr:rowOff>
                  </from>
                  <to>
                    <xdr:col>21</xdr:col>
                    <xdr:colOff>114300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2866-1FA1-4C49-B59B-79AF78E02911}">
  <sheetPr codeName="Sheet12">
    <pageSetUpPr fitToPage="1"/>
  </sheetPr>
  <dimension ref="A1:V103"/>
  <sheetViews>
    <sheetView topLeftCell="B1" zoomScaleNormal="100" zoomScaleSheetLayoutView="100" workbookViewId="0">
      <pane ySplit="4" topLeftCell="A5" activePane="bottomLeft" state="frozen"/>
      <selection activeCell="F17" sqref="F17"/>
      <selection pane="bottomLeft" activeCell="C56" sqref="C56"/>
    </sheetView>
  </sheetViews>
  <sheetFormatPr defaultRowHeight="15" x14ac:dyDescent="0.25"/>
  <cols>
    <col min="1" max="1" width="2.85546875" hidden="1" customWidth="1"/>
    <col min="2" max="2" width="9.42578125" customWidth="1"/>
    <col min="3" max="3" width="12.140625" customWidth="1"/>
    <col min="4" max="4" width="12.85546875" customWidth="1"/>
    <col min="5" max="5" width="0.140625" customWidth="1"/>
    <col min="6" max="6" width="13.85546875" customWidth="1"/>
    <col min="7" max="7" width="16" customWidth="1"/>
    <col min="8" max="8" width="36.7109375" customWidth="1"/>
    <col min="9" max="9" width="37.28515625" customWidth="1"/>
    <col min="10" max="10" width="11.85546875" customWidth="1"/>
    <col min="11" max="11" width="11.140625" customWidth="1"/>
    <col min="12" max="12" width="6.5703125" customWidth="1"/>
    <col min="13" max="13" width="7.5703125" customWidth="1"/>
    <col min="14" max="14" width="0.28515625" hidden="1" customWidth="1"/>
    <col min="15" max="15" width="6.7109375" hidden="1" customWidth="1"/>
    <col min="16" max="16" width="13.140625" customWidth="1"/>
    <col min="17" max="17" width="11.140625" customWidth="1"/>
    <col min="18" max="18" width="15.140625" customWidth="1"/>
    <col min="19" max="19" width="13.28515625" hidden="1" customWidth="1"/>
  </cols>
  <sheetData>
    <row r="1" spans="1:22" ht="36.75" customHeight="1" thickBot="1" x14ac:dyDescent="0.3">
      <c r="A1" s="1"/>
      <c r="B1" s="1"/>
      <c r="C1" s="1"/>
      <c r="D1" s="1"/>
      <c r="E1" s="1"/>
      <c r="F1" s="2"/>
      <c r="G1" s="1"/>
      <c r="H1" s="1"/>
      <c r="I1" s="3"/>
      <c r="J1" s="1"/>
      <c r="K1" s="1"/>
      <c r="L1" s="4"/>
      <c r="M1" s="4"/>
      <c r="N1" s="4"/>
      <c r="O1" s="4"/>
      <c r="P1" s="4"/>
      <c r="Q1" s="4"/>
      <c r="R1" s="1"/>
    </row>
    <row r="2" spans="1:22" ht="66.75" customHeight="1" thickBot="1" x14ac:dyDescent="0.55000000000000004">
      <c r="A2" s="106"/>
      <c r="B2" s="173"/>
      <c r="C2" s="106"/>
      <c r="D2" s="174"/>
      <c r="E2" s="174"/>
      <c r="F2" s="106" t="s">
        <v>32</v>
      </c>
      <c r="G2" s="106"/>
      <c r="H2" s="106"/>
      <c r="I2" s="175"/>
      <c r="J2" s="176"/>
      <c r="K2" s="106"/>
      <c r="L2" s="313" t="s">
        <v>53</v>
      </c>
      <c r="M2" s="328"/>
      <c r="N2" s="329" t="str">
        <f>Monday!N2</f>
        <v>xxxx</v>
      </c>
      <c r="O2" s="329"/>
      <c r="P2" s="330"/>
      <c r="Q2" s="318" t="e">
        <f>N2-1</f>
        <v>#VALUE!</v>
      </c>
      <c r="R2" s="319"/>
      <c r="S2" s="318"/>
    </row>
    <row r="3" spans="1:22" ht="15.75" thickBot="1" x14ac:dyDescent="0.3">
      <c r="A3" s="185"/>
      <c r="B3" s="194"/>
      <c r="C3" s="194"/>
      <c r="D3" s="195"/>
      <c r="E3" s="196"/>
      <c r="F3" s="187"/>
      <c r="G3" s="187"/>
      <c r="H3" s="187"/>
      <c r="I3" s="188"/>
      <c r="J3" s="187"/>
      <c r="K3" s="187"/>
      <c r="L3" s="187"/>
      <c r="M3" s="187"/>
      <c r="N3" s="187"/>
      <c r="O3" s="187"/>
      <c r="P3" s="187"/>
      <c r="Q3" s="187"/>
      <c r="R3" s="199"/>
      <c r="S3" s="189"/>
    </row>
    <row r="4" spans="1:22" ht="24" customHeight="1" thickBot="1" x14ac:dyDescent="0.4">
      <c r="A4" s="140"/>
      <c r="B4" s="136"/>
      <c r="C4" s="137"/>
      <c r="D4" s="138"/>
      <c r="E4" s="138"/>
      <c r="F4" s="141"/>
      <c r="G4" s="142"/>
      <c r="H4" s="309" t="s">
        <v>51</v>
      </c>
      <c r="I4" s="310"/>
      <c r="J4" s="138"/>
      <c r="K4" s="138"/>
      <c r="L4" s="138"/>
      <c r="M4" s="138"/>
      <c r="N4" s="138"/>
      <c r="O4" s="138"/>
      <c r="P4" s="138"/>
      <c r="Q4" s="138"/>
      <c r="R4" s="139"/>
      <c r="S4" s="139"/>
    </row>
    <row r="5" spans="1:22" ht="27.75" customHeight="1" thickBot="1" x14ac:dyDescent="0.3">
      <c r="A5" s="190"/>
      <c r="B5" s="191" t="s">
        <v>2</v>
      </c>
      <c r="C5" s="191" t="s">
        <v>3</v>
      </c>
      <c r="D5" s="191" t="s">
        <v>46</v>
      </c>
      <c r="E5" s="191" t="s">
        <v>37</v>
      </c>
      <c r="F5" s="191" t="s">
        <v>4</v>
      </c>
      <c r="G5" s="191" t="s">
        <v>38</v>
      </c>
      <c r="H5" s="191" t="s">
        <v>560</v>
      </c>
      <c r="I5" s="191" t="s">
        <v>40</v>
      </c>
      <c r="J5" s="191" t="s">
        <v>48</v>
      </c>
      <c r="K5" s="191" t="s">
        <v>49</v>
      </c>
      <c r="L5" s="191" t="s">
        <v>487</v>
      </c>
      <c r="M5" s="191" t="s">
        <v>615</v>
      </c>
      <c r="N5" s="237" t="s">
        <v>13</v>
      </c>
      <c r="O5" s="237" t="s">
        <v>15</v>
      </c>
      <c r="P5" s="191" t="s">
        <v>16</v>
      </c>
      <c r="Q5" s="237" t="s">
        <v>56</v>
      </c>
      <c r="R5" s="192" t="s">
        <v>47</v>
      </c>
      <c r="S5" s="193"/>
    </row>
    <row r="6" spans="1:22" x14ac:dyDescent="0.25">
      <c r="A6" s="135">
        <v>1</v>
      </c>
      <c r="B6" s="275" t="s">
        <v>655</v>
      </c>
      <c r="C6" s="279" t="e">
        <f>$Q$2</f>
        <v>#VALUE!</v>
      </c>
      <c r="D6" s="275"/>
      <c r="E6" s="275"/>
      <c r="F6" s="275"/>
      <c r="G6" s="275"/>
      <c r="H6" s="275"/>
      <c r="I6" s="275" t="str">
        <f>IF(H6="","",(VLOOKUP(H6,'Reference List'!$B$3:$D$173,2,FALSE)))</f>
        <v/>
      </c>
      <c r="J6" s="276" t="str">
        <f>IF(H6="","",(VLOOKUP(H6,'Reference List'!$B$3:$F$202,5,FALSE)))</f>
        <v/>
      </c>
      <c r="K6" s="275"/>
      <c r="L6" s="275"/>
      <c r="M6" s="275"/>
      <c r="N6" s="275"/>
      <c r="O6" s="275"/>
      <c r="P6" s="277"/>
      <c r="Q6" s="275"/>
      <c r="R6" s="275"/>
      <c r="S6" s="169"/>
      <c r="V6" s="158"/>
    </row>
    <row r="7" spans="1:22" x14ac:dyDescent="0.25">
      <c r="A7" s="124">
        <v>2</v>
      </c>
      <c r="B7" s="275" t="s">
        <v>656</v>
      </c>
      <c r="C7" s="279" t="e">
        <f t="shared" ref="C7:C18" si="0">$Q$2</f>
        <v>#VALUE!</v>
      </c>
      <c r="D7" s="275"/>
      <c r="E7" s="275"/>
      <c r="F7" s="275"/>
      <c r="G7" s="275"/>
      <c r="H7" s="275"/>
      <c r="I7" s="275" t="str">
        <f>IF(H7="","",(VLOOKUP(H7,'Reference List'!$B$3:$D$173,2,FALSE)))</f>
        <v/>
      </c>
      <c r="J7" s="276" t="str">
        <f>IF(H7="","",(VLOOKUP(H7,'Reference List'!$B$3:$F$202,5,FALSE)))</f>
        <v/>
      </c>
      <c r="K7" s="275"/>
      <c r="L7" s="275"/>
      <c r="M7" s="275"/>
      <c r="N7" s="275"/>
      <c r="O7" s="275"/>
      <c r="P7" s="277"/>
      <c r="Q7" s="277"/>
      <c r="R7" s="275"/>
      <c r="S7" s="169"/>
      <c r="V7" s="158"/>
    </row>
    <row r="8" spans="1:22" x14ac:dyDescent="0.25">
      <c r="A8" s="124">
        <v>3</v>
      </c>
      <c r="B8" s="275" t="s">
        <v>657</v>
      </c>
      <c r="C8" s="279" t="e">
        <f t="shared" si="0"/>
        <v>#VALUE!</v>
      </c>
      <c r="D8" s="275"/>
      <c r="E8" s="275"/>
      <c r="F8" s="275"/>
      <c r="G8" s="275"/>
      <c r="H8" s="275"/>
      <c r="I8" s="275" t="str">
        <f>IF(H8="","",(VLOOKUP(H8,'Reference List'!$B$3:$D$173,2,FALSE)))</f>
        <v/>
      </c>
      <c r="J8" s="276" t="str">
        <f>IF(H8="","",(VLOOKUP(H8,'Reference List'!$B$3:$F$202,5,FALSE)))</f>
        <v/>
      </c>
      <c r="K8" s="275"/>
      <c r="L8" s="275"/>
      <c r="M8" s="275"/>
      <c r="N8" s="275"/>
      <c r="O8" s="275"/>
      <c r="P8" s="277"/>
      <c r="Q8" s="275"/>
      <c r="R8" s="275"/>
      <c r="S8" s="169"/>
    </row>
    <row r="9" spans="1:22" x14ac:dyDescent="0.25">
      <c r="A9" s="124">
        <v>4</v>
      </c>
      <c r="B9" s="275" t="s">
        <v>658</v>
      </c>
      <c r="C9" s="279" t="e">
        <f t="shared" si="0"/>
        <v>#VALUE!</v>
      </c>
      <c r="D9" s="275"/>
      <c r="E9" s="275"/>
      <c r="F9" s="275"/>
      <c r="G9" s="275"/>
      <c r="H9" s="275"/>
      <c r="I9" s="275" t="str">
        <f>IF(H9="","",(VLOOKUP(H9,'Reference List'!$B$3:$D$173,2,FALSE)))</f>
        <v/>
      </c>
      <c r="J9" s="276" t="str">
        <f>IF(H9="","",(VLOOKUP(H9,'Reference List'!$B$3:$F$202,5,FALSE)))</f>
        <v/>
      </c>
      <c r="K9" s="275"/>
      <c r="L9" s="275"/>
      <c r="M9" s="275"/>
      <c r="N9" s="275"/>
      <c r="O9" s="275"/>
      <c r="P9" s="277"/>
      <c r="Q9" s="277"/>
      <c r="R9" s="275"/>
      <c r="S9" s="169"/>
    </row>
    <row r="10" spans="1:22" x14ac:dyDescent="0.25">
      <c r="A10" s="124">
        <v>5</v>
      </c>
      <c r="B10" s="275" t="s">
        <v>659</v>
      </c>
      <c r="C10" s="279" t="e">
        <f t="shared" si="0"/>
        <v>#VALUE!</v>
      </c>
      <c r="D10" s="275"/>
      <c r="E10" s="275"/>
      <c r="F10" s="275"/>
      <c r="G10" s="275"/>
      <c r="H10" s="275"/>
      <c r="I10" s="275" t="str">
        <f>IF(H10="","",(VLOOKUP(H10,'Reference List'!$B$3:$D$173,2,FALSE)))</f>
        <v/>
      </c>
      <c r="J10" s="276" t="str">
        <f>IF(H10="","",(VLOOKUP(H10,'Reference List'!$B$3:$F$202,5,FALSE)))</f>
        <v/>
      </c>
      <c r="K10" s="275"/>
      <c r="L10" s="275"/>
      <c r="M10" s="275"/>
      <c r="N10" s="275"/>
      <c r="O10" s="275"/>
      <c r="P10" s="277"/>
      <c r="Q10" s="277"/>
      <c r="R10" s="275"/>
      <c r="S10" s="169"/>
    </row>
    <row r="11" spans="1:22" x14ac:dyDescent="0.25">
      <c r="A11" s="124">
        <v>6</v>
      </c>
      <c r="B11" s="275" t="s">
        <v>660</v>
      </c>
      <c r="C11" s="279" t="e">
        <f t="shared" si="0"/>
        <v>#VALUE!</v>
      </c>
      <c r="D11" s="275"/>
      <c r="E11" s="275"/>
      <c r="F11" s="275"/>
      <c r="G11" s="275"/>
      <c r="H11" s="275"/>
      <c r="I11" s="275" t="str">
        <f>IF(H11="","",(VLOOKUP(H11,'Reference List'!$B$3:$D$173,2,FALSE)))</f>
        <v/>
      </c>
      <c r="J11" s="276" t="str">
        <f>IF(H11="","",(VLOOKUP(H11,'Reference List'!$B$3:$F$202,5,FALSE)))</f>
        <v/>
      </c>
      <c r="K11" s="275"/>
      <c r="L11" s="275"/>
      <c r="M11" s="275"/>
      <c r="N11" s="275"/>
      <c r="O11" s="275"/>
      <c r="P11" s="277"/>
      <c r="Q11" s="277"/>
      <c r="R11" s="275"/>
      <c r="S11" s="169"/>
    </row>
    <row r="12" spans="1:22" x14ac:dyDescent="0.25">
      <c r="A12" s="124">
        <v>7</v>
      </c>
      <c r="B12" s="275" t="s">
        <v>661</v>
      </c>
      <c r="C12" s="279" t="e">
        <f t="shared" si="0"/>
        <v>#VALUE!</v>
      </c>
      <c r="D12" s="275"/>
      <c r="E12" s="275"/>
      <c r="F12" s="275"/>
      <c r="G12" s="275"/>
      <c r="H12" s="275"/>
      <c r="I12" s="275" t="str">
        <f>IF(H12="","",(VLOOKUP(H12,'Reference List'!$B$3:$D$173,2,FALSE)))</f>
        <v/>
      </c>
      <c r="J12" s="276" t="str">
        <f>IF(H12="","",(VLOOKUP(H12,'Reference List'!$B$3:$F$202,5,FALSE)))</f>
        <v/>
      </c>
      <c r="K12" s="275"/>
      <c r="L12" s="275"/>
      <c r="M12" s="275"/>
      <c r="N12" s="275"/>
      <c r="O12" s="275"/>
      <c r="P12" s="277"/>
      <c r="Q12" s="277"/>
      <c r="R12" s="275"/>
      <c r="S12" s="169"/>
    </row>
    <row r="13" spans="1:22" x14ac:dyDescent="0.25">
      <c r="A13" s="124">
        <v>8</v>
      </c>
      <c r="B13" s="275" t="s">
        <v>662</v>
      </c>
      <c r="C13" s="279" t="e">
        <f t="shared" si="0"/>
        <v>#VALUE!</v>
      </c>
      <c r="D13" s="275"/>
      <c r="E13" s="275"/>
      <c r="F13" s="275"/>
      <c r="G13" s="275"/>
      <c r="H13" s="275"/>
      <c r="I13" s="275" t="str">
        <f>IF(H13="","",(VLOOKUP(H13,'Reference List'!$B$3:$D$173,2,FALSE)))</f>
        <v/>
      </c>
      <c r="J13" s="276" t="str">
        <f>IF(H13="","",(VLOOKUP(H13,'Reference List'!$B$3:$F$202,5,FALSE)))</f>
        <v/>
      </c>
      <c r="K13" s="275"/>
      <c r="L13" s="275"/>
      <c r="M13" s="275"/>
      <c r="N13" s="275"/>
      <c r="O13" s="275"/>
      <c r="P13" s="275"/>
      <c r="Q13" s="275"/>
      <c r="R13" s="275"/>
      <c r="S13" s="169"/>
    </row>
    <row r="14" spans="1:22" x14ac:dyDescent="0.25">
      <c r="A14" s="124">
        <v>9</v>
      </c>
      <c r="B14" s="275" t="s">
        <v>663</v>
      </c>
      <c r="C14" s="279" t="e">
        <f t="shared" si="0"/>
        <v>#VALUE!</v>
      </c>
      <c r="D14" s="275"/>
      <c r="E14" s="275"/>
      <c r="F14" s="275"/>
      <c r="G14" s="275"/>
      <c r="H14" s="275"/>
      <c r="I14" s="275" t="str">
        <f>IF(H14="","",(VLOOKUP(H14,'Reference List'!$B$3:$D$173,2,FALSE)))</f>
        <v/>
      </c>
      <c r="J14" s="276" t="str">
        <f>IF(H14="","",(VLOOKUP(H14,'Reference List'!$B$3:$F$202,5,FALSE)))</f>
        <v/>
      </c>
      <c r="K14" s="275"/>
      <c r="L14" s="275"/>
      <c r="M14" s="275"/>
      <c r="N14" s="275"/>
      <c r="O14" s="275"/>
      <c r="P14" s="275"/>
      <c r="Q14" s="275"/>
      <c r="R14" s="275"/>
      <c r="S14" s="169"/>
    </row>
    <row r="15" spans="1:22" x14ac:dyDescent="0.25">
      <c r="A15" s="124">
        <v>10</v>
      </c>
      <c r="B15" s="275" t="s">
        <v>664</v>
      </c>
      <c r="C15" s="279" t="e">
        <f t="shared" si="0"/>
        <v>#VALUE!</v>
      </c>
      <c r="D15" s="275"/>
      <c r="E15" s="275"/>
      <c r="F15" s="275"/>
      <c r="G15" s="275"/>
      <c r="H15" s="275"/>
      <c r="I15" s="275" t="str">
        <f>IF(H15="","",(VLOOKUP(H15,'Reference List'!$B$3:$D$173,2,FALSE)))</f>
        <v/>
      </c>
      <c r="J15" s="276" t="str">
        <f>IF(H15="","",(VLOOKUP(H15,'Reference List'!$B$3:$F$202,5,FALSE)))</f>
        <v/>
      </c>
      <c r="K15" s="275"/>
      <c r="L15" s="275"/>
      <c r="M15" s="275"/>
      <c r="N15" s="275"/>
      <c r="O15" s="275"/>
      <c r="P15" s="275"/>
      <c r="Q15" s="275"/>
      <c r="R15" s="275"/>
      <c r="S15" s="169"/>
    </row>
    <row r="16" spans="1:22" x14ac:dyDescent="0.25">
      <c r="A16" s="124">
        <v>11</v>
      </c>
      <c r="B16" s="275" t="s">
        <v>665</v>
      </c>
      <c r="C16" s="279" t="e">
        <f t="shared" si="0"/>
        <v>#VALUE!</v>
      </c>
      <c r="D16" s="275"/>
      <c r="E16" s="275"/>
      <c r="F16" s="275"/>
      <c r="G16" s="275"/>
      <c r="H16" s="275"/>
      <c r="I16" s="275" t="str">
        <f>IF(H16="","",(VLOOKUP(H16,'Reference List'!$B$3:$D$173,2,FALSE)))</f>
        <v/>
      </c>
      <c r="J16" s="276" t="str">
        <f>IF(H16="","",(VLOOKUP(H16,'Reference List'!$B$3:$F$202,5,FALSE)))</f>
        <v/>
      </c>
      <c r="K16" s="275"/>
      <c r="L16" s="275"/>
      <c r="M16" s="275"/>
      <c r="N16" s="275"/>
      <c r="O16" s="275"/>
      <c r="P16" s="275"/>
      <c r="Q16" s="275"/>
      <c r="R16" s="275"/>
      <c r="S16" s="169"/>
    </row>
    <row r="17" spans="1:19" x14ac:dyDescent="0.25">
      <c r="A17" s="124">
        <v>12</v>
      </c>
      <c r="B17" s="275" t="s">
        <v>666</v>
      </c>
      <c r="C17" s="279" t="e">
        <f t="shared" si="0"/>
        <v>#VALUE!</v>
      </c>
      <c r="D17" s="275"/>
      <c r="E17" s="275"/>
      <c r="F17" s="275"/>
      <c r="G17" s="275"/>
      <c r="H17" s="275"/>
      <c r="I17" s="275" t="str">
        <f>IF(H17="","",(VLOOKUP(H17,'Reference List'!$B$3:$D$173,2,FALSE)))</f>
        <v/>
      </c>
      <c r="J17" s="276" t="str">
        <f>IF(H17="","",(VLOOKUP(H17,'Reference List'!$B$3:$F$202,5,FALSE)))</f>
        <v/>
      </c>
      <c r="K17" s="275"/>
      <c r="L17" s="275"/>
      <c r="M17" s="275"/>
      <c r="N17" s="275"/>
      <c r="O17" s="275"/>
      <c r="P17" s="275"/>
      <c r="Q17" s="275"/>
      <c r="R17" s="275"/>
      <c r="S17" s="169"/>
    </row>
    <row r="18" spans="1:19" ht="15.75" thickBot="1" x14ac:dyDescent="0.3">
      <c r="A18" s="124">
        <v>13</v>
      </c>
      <c r="B18" s="275" t="s">
        <v>667</v>
      </c>
      <c r="C18" s="279" t="e">
        <f t="shared" si="0"/>
        <v>#VALUE!</v>
      </c>
      <c r="D18" s="275"/>
      <c r="E18" s="275"/>
      <c r="F18" s="275"/>
      <c r="G18" s="275"/>
      <c r="H18" s="275"/>
      <c r="I18" s="275" t="str">
        <f>IF(H18="","",(VLOOKUP(H18,'Reference List'!$B$3:$D$173,2,FALSE)))</f>
        <v/>
      </c>
      <c r="J18" s="276" t="str">
        <f>IF(H18="","",(VLOOKUP(H18,'Reference List'!$B$3:$F$202,5,FALSE)))</f>
        <v/>
      </c>
      <c r="K18" s="275"/>
      <c r="L18" s="275"/>
      <c r="M18" s="275"/>
      <c r="N18" s="275"/>
      <c r="O18" s="275"/>
      <c r="P18" s="275"/>
      <c r="Q18" s="275"/>
      <c r="R18" s="275"/>
      <c r="S18" s="169"/>
    </row>
    <row r="19" spans="1:19" ht="15.75" thickBot="1" x14ac:dyDescent="0.3">
      <c r="A19" s="185"/>
      <c r="B19" s="194"/>
      <c r="C19" s="194"/>
      <c r="D19" s="195"/>
      <c r="E19" s="196"/>
      <c r="F19" s="187"/>
      <c r="G19" s="187"/>
      <c r="H19" s="187"/>
      <c r="I19" s="188"/>
      <c r="J19" s="187"/>
      <c r="K19" s="187"/>
      <c r="L19" s="187"/>
      <c r="M19" s="187"/>
      <c r="N19" s="187"/>
      <c r="O19" s="187"/>
      <c r="P19" s="187"/>
      <c r="Q19" s="187"/>
      <c r="R19" s="188"/>
      <c r="S19" s="189"/>
    </row>
    <row r="20" spans="1:19" ht="23.25" customHeight="1" thickBot="1" x14ac:dyDescent="0.3">
      <c r="A20" s="159"/>
      <c r="B20" s="160"/>
      <c r="C20" s="161"/>
      <c r="D20" s="162"/>
      <c r="E20" s="162"/>
      <c r="F20" s="163"/>
      <c r="G20" s="164"/>
      <c r="H20" s="331" t="s">
        <v>486</v>
      </c>
      <c r="I20" s="332"/>
      <c r="J20" s="165"/>
      <c r="K20" s="162"/>
      <c r="L20" s="162"/>
      <c r="M20" s="162"/>
      <c r="N20" s="162"/>
      <c r="O20" s="162"/>
      <c r="P20" s="162"/>
      <c r="Q20" s="162"/>
      <c r="R20" s="166"/>
      <c r="S20" s="151" t="s">
        <v>52</v>
      </c>
    </row>
    <row r="21" spans="1:19" ht="25.5" customHeight="1" thickBot="1" x14ac:dyDescent="0.3">
      <c r="A21" s="190"/>
      <c r="B21" s="191" t="s">
        <v>2</v>
      </c>
      <c r="C21" s="191" t="s">
        <v>3</v>
      </c>
      <c r="D21" s="191" t="s">
        <v>46</v>
      </c>
      <c r="E21" s="191" t="s">
        <v>37</v>
      </c>
      <c r="F21" s="191" t="s">
        <v>4</v>
      </c>
      <c r="G21" s="191" t="s">
        <v>38</v>
      </c>
      <c r="H21" s="191" t="s">
        <v>560</v>
      </c>
      <c r="I21" s="191" t="s">
        <v>40</v>
      </c>
      <c r="J21" s="191" t="s">
        <v>48</v>
      </c>
      <c r="K21" s="191" t="s">
        <v>49</v>
      </c>
      <c r="L21" s="191" t="s">
        <v>487</v>
      </c>
      <c r="M21" s="191" t="s">
        <v>615</v>
      </c>
      <c r="N21" s="237" t="s">
        <v>13</v>
      </c>
      <c r="O21" s="237" t="s">
        <v>15</v>
      </c>
      <c r="P21" s="191" t="s">
        <v>16</v>
      </c>
      <c r="Q21" s="237" t="s">
        <v>56</v>
      </c>
      <c r="R21" s="192" t="s">
        <v>47</v>
      </c>
      <c r="S21" s="193"/>
    </row>
    <row r="22" spans="1:19" x14ac:dyDescent="0.25">
      <c r="A22" s="135">
        <v>19</v>
      </c>
      <c r="B22" s="275" t="s">
        <v>668</v>
      </c>
      <c r="C22" s="279" t="e">
        <f>$Q$2</f>
        <v>#VALUE!</v>
      </c>
      <c r="D22" s="275"/>
      <c r="E22" s="275"/>
      <c r="F22" s="275"/>
      <c r="G22" s="275"/>
      <c r="H22" s="275"/>
      <c r="I22" s="275" t="str">
        <f>IF(H22="","",(VLOOKUP(H22,'Reference List'!$B$3:$D$173,2,FALSE)))</f>
        <v/>
      </c>
      <c r="J22" s="276" t="str">
        <f>IF(H22="","",(VLOOKUP(H22,'Reference List'!$B$3:$F$202,5,FALSE)))</f>
        <v/>
      </c>
      <c r="K22" s="275"/>
      <c r="L22" s="275"/>
      <c r="M22" s="275"/>
      <c r="N22" s="275"/>
      <c r="O22" s="275"/>
      <c r="P22" s="277"/>
      <c r="Q22" s="277"/>
      <c r="R22" s="275"/>
      <c r="S22" s="169"/>
    </row>
    <row r="23" spans="1:19" x14ac:dyDescent="0.25">
      <c r="A23" s="135">
        <v>20</v>
      </c>
      <c r="B23" s="275" t="s">
        <v>669</v>
      </c>
      <c r="C23" s="279" t="e">
        <f t="shared" ref="C23:C86" si="1">$Q$2</f>
        <v>#VALUE!</v>
      </c>
      <c r="D23" s="275"/>
      <c r="E23" s="275"/>
      <c r="F23" s="275"/>
      <c r="G23" s="275"/>
      <c r="H23" s="275"/>
      <c r="I23" s="275" t="str">
        <f>IF(H23="","",(VLOOKUP(H23,'Reference List'!$B$3:$D$173,2,FALSE)))</f>
        <v/>
      </c>
      <c r="J23" s="276" t="str">
        <f>IF(H23="","",(VLOOKUP(H23,'Reference List'!$B$3:$F$202,5,FALSE)))</f>
        <v/>
      </c>
      <c r="K23" s="275"/>
      <c r="L23" s="275"/>
      <c r="M23" s="275"/>
      <c r="N23" s="275"/>
      <c r="O23" s="275"/>
      <c r="P23" s="277"/>
      <c r="Q23" s="275"/>
      <c r="R23" s="275"/>
      <c r="S23" s="168"/>
    </row>
    <row r="24" spans="1:19" x14ac:dyDescent="0.25">
      <c r="A24" s="124">
        <v>21</v>
      </c>
      <c r="B24" s="275" t="s">
        <v>670</v>
      </c>
      <c r="C24" s="279" t="e">
        <f t="shared" si="1"/>
        <v>#VALUE!</v>
      </c>
      <c r="D24" s="275"/>
      <c r="E24" s="275"/>
      <c r="F24" s="275"/>
      <c r="G24" s="275"/>
      <c r="H24" s="275"/>
      <c r="I24" s="275" t="str">
        <f>IF(H24="","",(VLOOKUP(H24,'Reference List'!$B$3:$D$173,2,FALSE)))</f>
        <v/>
      </c>
      <c r="J24" s="276" t="str">
        <f>IF(H24="","",(VLOOKUP(H24,'Reference List'!$B$3:$F$202,5,FALSE)))</f>
        <v/>
      </c>
      <c r="K24" s="275"/>
      <c r="L24" s="275"/>
      <c r="M24" s="275"/>
      <c r="N24" s="275"/>
      <c r="O24" s="275"/>
      <c r="P24" s="277"/>
      <c r="Q24" s="277"/>
      <c r="R24" s="275"/>
      <c r="S24" s="168"/>
    </row>
    <row r="25" spans="1:19" x14ac:dyDescent="0.25">
      <c r="A25" s="124">
        <v>22</v>
      </c>
      <c r="B25" s="275" t="s">
        <v>671</v>
      </c>
      <c r="C25" s="279" t="e">
        <f t="shared" si="1"/>
        <v>#VALUE!</v>
      </c>
      <c r="D25" s="275"/>
      <c r="E25" s="275"/>
      <c r="F25" s="275"/>
      <c r="G25" s="275"/>
      <c r="H25" s="275"/>
      <c r="I25" s="275" t="str">
        <f>IF(H25="","",(VLOOKUP(H25,'Reference List'!$B$3:$D$173,2,FALSE)))</f>
        <v/>
      </c>
      <c r="J25" s="276" t="str">
        <f>IF(H25="","",(VLOOKUP(H25,'Reference List'!$B$3:$F$202,5,FALSE)))</f>
        <v/>
      </c>
      <c r="K25" s="275"/>
      <c r="L25" s="275"/>
      <c r="M25" s="275"/>
      <c r="N25" s="275"/>
      <c r="O25" s="275"/>
      <c r="P25" s="277"/>
      <c r="Q25" s="277"/>
      <c r="R25" s="275"/>
      <c r="S25" s="168"/>
    </row>
    <row r="26" spans="1:19" x14ac:dyDescent="0.25">
      <c r="A26" s="135">
        <v>23</v>
      </c>
      <c r="B26" s="275" t="s">
        <v>672</v>
      </c>
      <c r="C26" s="279" t="e">
        <f t="shared" si="1"/>
        <v>#VALUE!</v>
      </c>
      <c r="D26" s="275"/>
      <c r="E26" s="275"/>
      <c r="F26" s="275"/>
      <c r="G26" s="275"/>
      <c r="H26" s="275"/>
      <c r="I26" s="275" t="str">
        <f>IF(H26="","",(VLOOKUP(H26,'Reference List'!$B$3:$D$173,2,FALSE)))</f>
        <v/>
      </c>
      <c r="J26" s="276" t="str">
        <f>IF(H26="","",(VLOOKUP(H26,'Reference List'!$B$3:$F$202,5,FALSE)))</f>
        <v/>
      </c>
      <c r="K26" s="275"/>
      <c r="L26" s="275"/>
      <c r="M26" s="275"/>
      <c r="N26" s="275"/>
      <c r="O26" s="275"/>
      <c r="P26" s="277"/>
      <c r="Q26" s="277"/>
      <c r="R26" s="275"/>
      <c r="S26" s="168"/>
    </row>
    <row r="27" spans="1:19" x14ac:dyDescent="0.25">
      <c r="A27" s="124">
        <v>24</v>
      </c>
      <c r="B27" s="275" t="s">
        <v>673</v>
      </c>
      <c r="C27" s="279" t="e">
        <f t="shared" si="1"/>
        <v>#VALUE!</v>
      </c>
      <c r="D27" s="275"/>
      <c r="E27" s="275"/>
      <c r="F27" s="275"/>
      <c r="G27" s="275"/>
      <c r="H27" s="275"/>
      <c r="I27" s="275" t="str">
        <f>IF(H27="","",(VLOOKUP(H27,'Reference List'!$B$3:$D$173,2,FALSE)))</f>
        <v/>
      </c>
      <c r="J27" s="276" t="str">
        <f>IF(H27="","",(VLOOKUP(H27,'Reference List'!$B$3:$F$202,5,FALSE)))</f>
        <v/>
      </c>
      <c r="K27" s="275"/>
      <c r="L27" s="275"/>
      <c r="M27" s="275"/>
      <c r="N27" s="275"/>
      <c r="O27" s="275"/>
      <c r="P27" s="275"/>
      <c r="Q27" s="275"/>
      <c r="R27" s="275"/>
      <c r="S27" s="168"/>
    </row>
    <row r="28" spans="1:19" x14ac:dyDescent="0.25">
      <c r="A28" s="124">
        <v>25</v>
      </c>
      <c r="B28" s="275" t="s">
        <v>674</v>
      </c>
      <c r="C28" s="279" t="e">
        <f t="shared" si="1"/>
        <v>#VALUE!</v>
      </c>
      <c r="D28" s="275"/>
      <c r="E28" s="275"/>
      <c r="F28" s="275"/>
      <c r="G28" s="275"/>
      <c r="H28" s="275"/>
      <c r="I28" s="275" t="str">
        <f>IF(H28="","",(VLOOKUP(H28,'Reference List'!$B$3:$D$173,2,FALSE)))</f>
        <v/>
      </c>
      <c r="J28" s="276" t="str">
        <f>IF(H28="","",(VLOOKUP(H28,'Reference List'!$B$3:$F$202,5,FALSE)))</f>
        <v/>
      </c>
      <c r="K28" s="275"/>
      <c r="L28" s="275"/>
      <c r="M28" s="275"/>
      <c r="N28" s="275"/>
      <c r="O28" s="275"/>
      <c r="P28" s="275"/>
      <c r="Q28" s="275"/>
      <c r="R28" s="275"/>
      <c r="S28" s="168"/>
    </row>
    <row r="29" spans="1:19" x14ac:dyDescent="0.25">
      <c r="A29" s="135">
        <v>26</v>
      </c>
      <c r="B29" s="275" t="s">
        <v>675</v>
      </c>
      <c r="C29" s="279" t="e">
        <f t="shared" si="1"/>
        <v>#VALUE!</v>
      </c>
      <c r="D29" s="275"/>
      <c r="E29" s="275"/>
      <c r="F29" s="275"/>
      <c r="G29" s="275"/>
      <c r="H29" s="275"/>
      <c r="I29" s="275" t="str">
        <f>IF(H29="","",(VLOOKUP(H29,'Reference List'!$B$3:$D$173,2,FALSE)))</f>
        <v/>
      </c>
      <c r="J29" s="276" t="str">
        <f>IF(H29="","",(VLOOKUP(H29,'Reference List'!$B$3:$F$202,5,FALSE)))</f>
        <v/>
      </c>
      <c r="K29" s="275"/>
      <c r="L29" s="275"/>
      <c r="M29" s="275"/>
      <c r="N29" s="275"/>
      <c r="O29" s="275"/>
      <c r="P29" s="275"/>
      <c r="Q29" s="275"/>
      <c r="R29" s="275"/>
      <c r="S29" s="168"/>
    </row>
    <row r="30" spans="1:19" x14ac:dyDescent="0.25">
      <c r="A30" s="124">
        <v>27</v>
      </c>
      <c r="B30" s="275" t="s">
        <v>676</v>
      </c>
      <c r="C30" s="279" t="e">
        <f t="shared" si="1"/>
        <v>#VALUE!</v>
      </c>
      <c r="D30" s="275"/>
      <c r="E30" s="275"/>
      <c r="F30" s="275"/>
      <c r="G30" s="275"/>
      <c r="H30" s="275"/>
      <c r="I30" s="275" t="str">
        <f>IF(H30="","",(VLOOKUP(H30,'Reference List'!$B$3:$D$173,2,FALSE)))</f>
        <v/>
      </c>
      <c r="J30" s="276" t="str">
        <f>IF(H30="","",(VLOOKUP(H30,'Reference List'!$B$3:$F$202,5,FALSE)))</f>
        <v/>
      </c>
      <c r="K30" s="275"/>
      <c r="L30" s="275"/>
      <c r="M30" s="275"/>
      <c r="N30" s="275"/>
      <c r="O30" s="275"/>
      <c r="P30" s="275"/>
      <c r="Q30" s="275"/>
      <c r="R30" s="275"/>
      <c r="S30" s="168"/>
    </row>
    <row r="31" spans="1:19" x14ac:dyDescent="0.25">
      <c r="A31" s="124">
        <v>28</v>
      </c>
      <c r="B31" s="275" t="s">
        <v>677</v>
      </c>
      <c r="C31" s="279" t="e">
        <f t="shared" si="1"/>
        <v>#VALUE!</v>
      </c>
      <c r="D31" s="275"/>
      <c r="E31" s="275"/>
      <c r="F31" s="275"/>
      <c r="G31" s="275"/>
      <c r="H31" s="275" t="str">
        <f>IF(G31="","",(VLOOKUP(G31,'Reference List'!$B$3:$D$173,2,FALSE)))</f>
        <v/>
      </c>
      <c r="I31" s="275" t="str">
        <f>IF(H31="","",(VLOOKUP(H31,'Reference List'!$B$3:$D$173,2,FALSE)))</f>
        <v/>
      </c>
      <c r="J31" s="276" t="str">
        <f>IF(H31="","",(VLOOKUP(H31,'Reference List'!$B$3:$F$202,5,FALSE)))</f>
        <v/>
      </c>
      <c r="K31" s="275"/>
      <c r="L31" s="275"/>
      <c r="M31" s="275"/>
      <c r="N31" s="275"/>
      <c r="O31" s="275"/>
      <c r="P31" s="275"/>
      <c r="Q31" s="275"/>
      <c r="R31" s="275"/>
      <c r="S31" s="168"/>
    </row>
    <row r="32" spans="1:19" x14ac:dyDescent="0.25">
      <c r="A32" s="135">
        <v>29</v>
      </c>
      <c r="B32" s="275" t="s">
        <v>678</v>
      </c>
      <c r="C32" s="279" t="e">
        <f t="shared" si="1"/>
        <v>#VALUE!</v>
      </c>
      <c r="D32" s="275"/>
      <c r="E32" s="275"/>
      <c r="F32" s="275"/>
      <c r="G32" s="275"/>
      <c r="H32" s="275" t="str">
        <f>IF(G32="","",(VLOOKUP(G32,'Reference List'!$B$3:$D$173,2,FALSE)))</f>
        <v/>
      </c>
      <c r="I32" s="275" t="str">
        <f>IF(H32="","",(VLOOKUP(H32,'Reference List'!$B$3:$D$173,2,FALSE)))</f>
        <v/>
      </c>
      <c r="J32" s="276" t="str">
        <f>IF(H32="","",(VLOOKUP(H32,'Reference List'!$B$3:$F$202,5,FALSE)))</f>
        <v/>
      </c>
      <c r="K32" s="275"/>
      <c r="L32" s="275"/>
      <c r="M32" s="275"/>
      <c r="N32" s="275"/>
      <c r="O32" s="275"/>
      <c r="P32" s="275"/>
      <c r="Q32" s="275"/>
      <c r="R32" s="275"/>
      <c r="S32" s="168"/>
    </row>
    <row r="33" spans="1:19" x14ac:dyDescent="0.25">
      <c r="A33" s="124">
        <v>30</v>
      </c>
      <c r="B33" s="275" t="s">
        <v>679</v>
      </c>
      <c r="C33" s="279" t="e">
        <f t="shared" si="1"/>
        <v>#VALUE!</v>
      </c>
      <c r="D33" s="275"/>
      <c r="E33" s="275"/>
      <c r="F33" s="275"/>
      <c r="G33" s="275"/>
      <c r="H33" s="275" t="str">
        <f>IF(G33="","",(VLOOKUP(G33,'Reference List'!$B$3:$D$173,2,FALSE)))</f>
        <v/>
      </c>
      <c r="I33" s="275" t="str">
        <f>IF(H33="","",(VLOOKUP(H33,'Reference List'!$B$3:$D$173,2,FALSE)))</f>
        <v/>
      </c>
      <c r="J33" s="276" t="str">
        <f>IF(H33="","",(VLOOKUP(H33,'Reference List'!$B$3:$F$202,5,FALSE)))</f>
        <v/>
      </c>
      <c r="K33" s="275"/>
      <c r="L33" s="275"/>
      <c r="M33" s="275"/>
      <c r="N33" s="275"/>
      <c r="O33" s="275"/>
      <c r="P33" s="275"/>
      <c r="Q33" s="275"/>
      <c r="R33" s="275"/>
      <c r="S33" s="168"/>
    </row>
    <row r="34" spans="1:19" x14ac:dyDescent="0.25">
      <c r="A34" s="124">
        <v>31</v>
      </c>
      <c r="B34" s="275" t="s">
        <v>680</v>
      </c>
      <c r="C34" s="279" t="e">
        <f t="shared" si="1"/>
        <v>#VALUE!</v>
      </c>
      <c r="D34" s="275"/>
      <c r="E34" s="275"/>
      <c r="F34" s="275"/>
      <c r="G34" s="275"/>
      <c r="H34" s="275" t="str">
        <f>IF(G34="","",(VLOOKUP(G34,'Reference List'!$B$3:$D$173,2,FALSE)))</f>
        <v/>
      </c>
      <c r="I34" s="275" t="str">
        <f>IF(H34="","",(VLOOKUP(H34,'Reference List'!$B$3:$D$173,2,FALSE)))</f>
        <v/>
      </c>
      <c r="J34" s="276" t="str">
        <f>IF(H34="","",(VLOOKUP(H34,'Reference List'!$B$3:$F$202,5,FALSE)))</f>
        <v/>
      </c>
      <c r="K34" s="275"/>
      <c r="L34" s="275"/>
      <c r="M34" s="275"/>
      <c r="N34" s="275"/>
      <c r="O34" s="275"/>
      <c r="P34" s="275"/>
      <c r="Q34" s="275"/>
      <c r="R34" s="275"/>
      <c r="S34" s="168"/>
    </row>
    <row r="35" spans="1:19" x14ac:dyDescent="0.25">
      <c r="A35" s="135">
        <v>32</v>
      </c>
      <c r="B35" s="275" t="s">
        <v>681</v>
      </c>
      <c r="C35" s="279" t="e">
        <f t="shared" si="1"/>
        <v>#VALUE!</v>
      </c>
      <c r="D35" s="275"/>
      <c r="E35" s="275"/>
      <c r="F35" s="275"/>
      <c r="G35" s="275"/>
      <c r="H35" s="275" t="str">
        <f>IF(G35="","",(VLOOKUP(G35,'Reference List'!$B$3:$D$173,2,FALSE)))</f>
        <v/>
      </c>
      <c r="I35" s="275" t="str">
        <f>IF(H35="","",(VLOOKUP(H35,'Reference List'!$B$3:$D$173,2,FALSE)))</f>
        <v/>
      </c>
      <c r="J35" s="276" t="str">
        <f>IF(H35="","",(VLOOKUP(H35,'Reference List'!$B$3:$F$202,5,FALSE)))</f>
        <v/>
      </c>
      <c r="K35" s="275"/>
      <c r="L35" s="275"/>
      <c r="M35" s="275"/>
      <c r="N35" s="275"/>
      <c r="O35" s="275"/>
      <c r="P35" s="275"/>
      <c r="Q35" s="275"/>
      <c r="R35" s="275"/>
      <c r="S35" s="168"/>
    </row>
    <row r="36" spans="1:19" x14ac:dyDescent="0.25">
      <c r="A36" s="124">
        <v>33</v>
      </c>
      <c r="B36" s="275" t="s">
        <v>682</v>
      </c>
      <c r="C36" s="279" t="e">
        <f t="shared" si="1"/>
        <v>#VALUE!</v>
      </c>
      <c r="D36" s="275"/>
      <c r="E36" s="275"/>
      <c r="F36" s="275"/>
      <c r="G36" s="275"/>
      <c r="H36" s="275" t="str">
        <f>IF(G36="","",(VLOOKUP(G36,'Reference List'!$B$3:$D$173,2,FALSE)))</f>
        <v/>
      </c>
      <c r="I36" s="275" t="str">
        <f>IF(H36="","",(VLOOKUP(H36,'Reference List'!$B$3:$D$173,2,FALSE)))</f>
        <v/>
      </c>
      <c r="J36" s="276" t="str">
        <f>IF(H36="","",(VLOOKUP(H36,'Reference List'!$B$3:$F$202,5,FALSE)))</f>
        <v/>
      </c>
      <c r="K36" s="275"/>
      <c r="L36" s="275"/>
      <c r="M36" s="275"/>
      <c r="N36" s="275"/>
      <c r="O36" s="275"/>
      <c r="P36" s="275"/>
      <c r="Q36" s="275"/>
      <c r="R36" s="275"/>
      <c r="S36" s="168"/>
    </row>
    <row r="37" spans="1:19" x14ac:dyDescent="0.25">
      <c r="A37" s="124">
        <v>34</v>
      </c>
      <c r="B37" s="275" t="s">
        <v>683</v>
      </c>
      <c r="C37" s="279" t="e">
        <f t="shared" si="1"/>
        <v>#VALUE!</v>
      </c>
      <c r="D37" s="275"/>
      <c r="E37" s="275"/>
      <c r="F37" s="275"/>
      <c r="G37" s="275"/>
      <c r="H37" s="275" t="str">
        <f>IF(G37="","",(VLOOKUP(G37,'Reference List'!$B$3:$D$173,2,FALSE)))</f>
        <v/>
      </c>
      <c r="I37" s="275" t="str">
        <f>IF(H37="","",(VLOOKUP(H37,'Reference List'!$B$3:$D$173,2,FALSE)))</f>
        <v/>
      </c>
      <c r="J37" s="276" t="str">
        <f>IF(H37="","",(VLOOKUP(H37,'Reference List'!$B$3:$F$202,5,FALSE)))</f>
        <v/>
      </c>
      <c r="K37" s="275"/>
      <c r="L37" s="275"/>
      <c r="M37" s="275"/>
      <c r="N37" s="275"/>
      <c r="O37" s="275"/>
      <c r="P37" s="275"/>
      <c r="Q37" s="275"/>
      <c r="R37" s="275"/>
      <c r="S37" s="168"/>
    </row>
    <row r="38" spans="1:19" x14ac:dyDescent="0.25">
      <c r="A38" s="135">
        <v>35</v>
      </c>
      <c r="B38" s="275" t="s">
        <v>684</v>
      </c>
      <c r="C38" s="279" t="e">
        <f t="shared" si="1"/>
        <v>#VALUE!</v>
      </c>
      <c r="D38" s="275"/>
      <c r="E38" s="275"/>
      <c r="F38" s="275"/>
      <c r="G38" s="275"/>
      <c r="H38" s="275" t="str">
        <f>IF(G38="","",(VLOOKUP(G38,'Reference List'!$B$3:$D$173,2,FALSE)))</f>
        <v/>
      </c>
      <c r="I38" s="275" t="str">
        <f>IF(H38="","",(VLOOKUP(H38,'Reference List'!$B$3:$D$173,2,FALSE)))</f>
        <v/>
      </c>
      <c r="J38" s="276" t="str">
        <f>IF(H38="","",(VLOOKUP(H38,'Reference List'!$B$3:$F$202,5,FALSE)))</f>
        <v/>
      </c>
      <c r="K38" s="275"/>
      <c r="L38" s="275"/>
      <c r="M38" s="275"/>
      <c r="N38" s="275"/>
      <c r="O38" s="275"/>
      <c r="P38" s="275"/>
      <c r="Q38" s="275"/>
      <c r="R38" s="275"/>
      <c r="S38" s="168"/>
    </row>
    <row r="39" spans="1:19" x14ac:dyDescent="0.25">
      <c r="A39" s="124">
        <v>36</v>
      </c>
      <c r="B39" s="275" t="s">
        <v>685</v>
      </c>
      <c r="C39" s="279" t="e">
        <f t="shared" si="1"/>
        <v>#VALUE!</v>
      </c>
      <c r="D39" s="275"/>
      <c r="E39" s="275"/>
      <c r="F39" s="275"/>
      <c r="G39" s="275"/>
      <c r="H39" s="275" t="str">
        <f>IF(G39="","",(VLOOKUP(G39,'Reference List'!$B$3:$D$173,2,FALSE)))</f>
        <v/>
      </c>
      <c r="I39" s="275" t="str">
        <f>IF(H39="","",(VLOOKUP(H39,'Reference List'!$B$3:$D$173,2,FALSE)))</f>
        <v/>
      </c>
      <c r="J39" s="276" t="str">
        <f>IF(H39="","",(VLOOKUP(H39,'Reference List'!$B$3:$F$202,5,FALSE)))</f>
        <v/>
      </c>
      <c r="K39" s="275"/>
      <c r="L39" s="275"/>
      <c r="M39" s="275"/>
      <c r="N39" s="275"/>
      <c r="O39" s="275"/>
      <c r="P39" s="275"/>
      <c r="Q39" s="275"/>
      <c r="R39" s="275"/>
      <c r="S39" s="168"/>
    </row>
    <row r="40" spans="1:19" x14ac:dyDescent="0.25">
      <c r="A40" s="124">
        <v>37</v>
      </c>
      <c r="B40" s="275" t="s">
        <v>686</v>
      </c>
      <c r="C40" s="279" t="e">
        <f t="shared" si="1"/>
        <v>#VALUE!</v>
      </c>
      <c r="D40" s="275"/>
      <c r="E40" s="275"/>
      <c r="F40" s="275"/>
      <c r="G40" s="275"/>
      <c r="H40" s="275" t="str">
        <f>IF(G40="","",(VLOOKUP(G40,'Reference List'!$B$3:$D$173,2,FALSE)))</f>
        <v/>
      </c>
      <c r="I40" s="275" t="str">
        <f>IF(H40="","",(VLOOKUP(H40,'Reference List'!$B$3:$D$173,2,FALSE)))</f>
        <v/>
      </c>
      <c r="J40" s="276" t="str">
        <f>IF(H40="","",(VLOOKUP(H40,'Reference List'!$B$3:$F$202,5,FALSE)))</f>
        <v/>
      </c>
      <c r="K40" s="275"/>
      <c r="L40" s="275"/>
      <c r="M40" s="275"/>
      <c r="N40" s="275"/>
      <c r="O40" s="275"/>
      <c r="P40" s="275"/>
      <c r="Q40" s="275"/>
      <c r="R40" s="275"/>
      <c r="S40" s="168"/>
    </row>
    <row r="41" spans="1:19" x14ac:dyDescent="0.25">
      <c r="A41" s="135">
        <v>38</v>
      </c>
      <c r="B41" s="275" t="s">
        <v>687</v>
      </c>
      <c r="C41" s="279" t="e">
        <f t="shared" si="1"/>
        <v>#VALUE!</v>
      </c>
      <c r="D41" s="275"/>
      <c r="E41" s="275"/>
      <c r="F41" s="275"/>
      <c r="G41" s="275"/>
      <c r="H41" s="275" t="str">
        <f>IF(G41="","",(VLOOKUP(G41,'Reference List'!$B$3:$D$173,2,FALSE)))</f>
        <v/>
      </c>
      <c r="I41" s="275" t="str">
        <f>IF(H41="","",(VLOOKUP(H41,'Reference List'!$B$3:$D$173,2,FALSE)))</f>
        <v/>
      </c>
      <c r="J41" s="276" t="str">
        <f>IF(H41="","",(VLOOKUP(H41,'Reference List'!$B$3:$F$202,5,FALSE)))</f>
        <v/>
      </c>
      <c r="K41" s="275"/>
      <c r="L41" s="275"/>
      <c r="M41" s="275"/>
      <c r="N41" s="275"/>
      <c r="O41" s="275"/>
      <c r="P41" s="275"/>
      <c r="Q41" s="275"/>
      <c r="R41" s="275"/>
      <c r="S41" s="168"/>
    </row>
    <row r="42" spans="1:19" x14ac:dyDescent="0.25">
      <c r="A42" s="124">
        <v>39</v>
      </c>
      <c r="B42" s="275" t="s">
        <v>688</v>
      </c>
      <c r="C42" s="279" t="e">
        <f t="shared" si="1"/>
        <v>#VALUE!</v>
      </c>
      <c r="D42" s="275"/>
      <c r="E42" s="275"/>
      <c r="F42" s="275"/>
      <c r="G42" s="275"/>
      <c r="H42" s="275" t="str">
        <f>IF(G42="","",(VLOOKUP(G42,'Reference List'!$B$3:$D$168,2,FALSE)))</f>
        <v/>
      </c>
      <c r="I42" s="275" t="str">
        <f>IF(H42="","",(VLOOKUP(H42,'Reference List'!$B$3:$D$173,2,FALSE)))</f>
        <v/>
      </c>
      <c r="J42" s="276" t="str">
        <f>IF(H42="","",(VLOOKUP(H42,'Reference List'!$B$3:$F$202,5,FALSE)))</f>
        <v/>
      </c>
      <c r="K42" s="275"/>
      <c r="L42" s="275"/>
      <c r="M42" s="275"/>
      <c r="N42" s="275"/>
      <c r="O42" s="275"/>
      <c r="P42" s="275"/>
      <c r="Q42" s="275"/>
      <c r="R42" s="275"/>
      <c r="S42" s="168"/>
    </row>
    <row r="43" spans="1:19" x14ac:dyDescent="0.25">
      <c r="A43" s="124">
        <v>40</v>
      </c>
      <c r="B43" s="275" t="s">
        <v>689</v>
      </c>
      <c r="C43" s="279" t="e">
        <f t="shared" si="1"/>
        <v>#VALUE!</v>
      </c>
      <c r="D43" s="275"/>
      <c r="E43" s="275"/>
      <c r="F43" s="275"/>
      <c r="G43" s="275"/>
      <c r="H43" s="275"/>
      <c r="I43" s="275" t="str">
        <f>IF(H43="","",(VLOOKUP(H43,'Reference List'!$B$3:$D$173,2,FALSE)))</f>
        <v/>
      </c>
      <c r="J43" s="276" t="str">
        <f>IF(H43="","",(VLOOKUP(H43,'Reference List'!$B$3:$F$202,5,FALSE)))</f>
        <v/>
      </c>
      <c r="K43" s="275"/>
      <c r="L43" s="275"/>
      <c r="M43" s="275"/>
      <c r="N43" s="275"/>
      <c r="O43" s="275"/>
      <c r="P43" s="275"/>
      <c r="Q43" s="275"/>
      <c r="R43" s="275"/>
      <c r="S43" s="168"/>
    </row>
    <row r="44" spans="1:19" x14ac:dyDescent="0.25">
      <c r="A44" s="135">
        <v>41</v>
      </c>
      <c r="B44" s="275" t="s">
        <v>690</v>
      </c>
      <c r="C44" s="279" t="e">
        <f t="shared" si="1"/>
        <v>#VALUE!</v>
      </c>
      <c r="D44" s="275"/>
      <c r="E44" s="275"/>
      <c r="F44" s="275"/>
      <c r="G44" s="275"/>
      <c r="H44" s="275"/>
      <c r="I44" s="275" t="str">
        <f>IF(H44="","",(VLOOKUP(H44,'Reference List'!$B$3:$D$173,2,FALSE)))</f>
        <v/>
      </c>
      <c r="J44" s="276" t="str">
        <f>IF(H44="","",(VLOOKUP(H44,'Reference List'!$B$3:$F$202,5,FALSE)))</f>
        <v/>
      </c>
      <c r="K44" s="275"/>
      <c r="L44" s="275"/>
      <c r="M44" s="275"/>
      <c r="N44" s="275"/>
      <c r="O44" s="275"/>
      <c r="P44" s="275"/>
      <c r="Q44" s="275"/>
      <c r="R44" s="275"/>
      <c r="S44" s="168"/>
    </row>
    <row r="45" spans="1:19" x14ac:dyDescent="0.25">
      <c r="A45" s="124">
        <v>42</v>
      </c>
      <c r="B45" s="275" t="s">
        <v>691</v>
      </c>
      <c r="C45" s="279" t="e">
        <f t="shared" si="1"/>
        <v>#VALUE!</v>
      </c>
      <c r="D45" s="275"/>
      <c r="E45" s="275"/>
      <c r="F45" s="275"/>
      <c r="G45" s="275"/>
      <c r="H45" s="275"/>
      <c r="I45" s="275" t="str">
        <f>IF(H45="","",(VLOOKUP(H45,'Reference List'!$B$3:$D$173,2,FALSE)))</f>
        <v/>
      </c>
      <c r="J45" s="276" t="str">
        <f>IF(H45="","",(VLOOKUP(H45,'Reference List'!$B$3:$F$202,5,FALSE)))</f>
        <v/>
      </c>
      <c r="K45" s="275"/>
      <c r="L45" s="275"/>
      <c r="M45" s="275"/>
      <c r="N45" s="275"/>
      <c r="O45" s="275"/>
      <c r="P45" s="275"/>
      <c r="Q45" s="275"/>
      <c r="R45" s="275"/>
      <c r="S45" s="168"/>
    </row>
    <row r="46" spans="1:19" x14ac:dyDescent="0.25">
      <c r="A46" s="124">
        <v>43</v>
      </c>
      <c r="B46" s="275" t="s">
        <v>692</v>
      </c>
      <c r="C46" s="279" t="e">
        <f t="shared" si="1"/>
        <v>#VALUE!</v>
      </c>
      <c r="D46" s="275"/>
      <c r="E46" s="275"/>
      <c r="F46" s="275"/>
      <c r="G46" s="275"/>
      <c r="H46" s="275"/>
      <c r="I46" s="275" t="str">
        <f>IF(H46="","",(VLOOKUP(H46,'Reference List'!$B$3:$D$173,2,FALSE)))</f>
        <v/>
      </c>
      <c r="J46" s="276" t="str">
        <f>IF(H46="","",(VLOOKUP(H46,'Reference List'!$B$3:$F$202,5,FALSE)))</f>
        <v/>
      </c>
      <c r="K46" s="275"/>
      <c r="L46" s="275"/>
      <c r="M46" s="275"/>
      <c r="N46" s="275"/>
      <c r="O46" s="275"/>
      <c r="P46" s="275"/>
      <c r="Q46" s="275"/>
      <c r="R46" s="275"/>
      <c r="S46" s="168"/>
    </row>
    <row r="47" spans="1:19" x14ac:dyDescent="0.25">
      <c r="A47" s="135">
        <v>44</v>
      </c>
      <c r="B47" s="275" t="s">
        <v>693</v>
      </c>
      <c r="C47" s="279" t="e">
        <f t="shared" si="1"/>
        <v>#VALUE!</v>
      </c>
      <c r="D47" s="275"/>
      <c r="E47" s="275"/>
      <c r="F47" s="275"/>
      <c r="G47" s="275"/>
      <c r="H47" s="275"/>
      <c r="I47" s="275" t="str">
        <f>IF(H47="","",(VLOOKUP(H47,'Reference List'!$B$3:$D$173,2,FALSE)))</f>
        <v/>
      </c>
      <c r="J47" s="276" t="str">
        <f>IF(H47="","",(VLOOKUP(H47,'Reference List'!$B$3:$F$202,5,FALSE)))</f>
        <v/>
      </c>
      <c r="K47" s="275"/>
      <c r="L47" s="275"/>
      <c r="M47" s="275"/>
      <c r="N47" s="275"/>
      <c r="O47" s="275"/>
      <c r="P47" s="275"/>
      <c r="Q47" s="275"/>
      <c r="R47" s="275"/>
      <c r="S47" s="168"/>
    </row>
    <row r="48" spans="1:19" x14ac:dyDescent="0.25">
      <c r="A48" s="124">
        <v>45</v>
      </c>
      <c r="B48" s="275" t="s">
        <v>694</v>
      </c>
      <c r="C48" s="279" t="e">
        <f t="shared" si="1"/>
        <v>#VALUE!</v>
      </c>
      <c r="D48" s="275"/>
      <c r="E48" s="275"/>
      <c r="F48" s="275"/>
      <c r="G48" s="275"/>
      <c r="H48" s="275"/>
      <c r="I48" s="275" t="str">
        <f>IF(H48="","",(VLOOKUP(H48,'Reference List'!$B$3:$D$173,2,FALSE)))</f>
        <v/>
      </c>
      <c r="J48" s="276" t="str">
        <f>IF(H48="","",(VLOOKUP(H48,'Reference List'!$B$3:$F$202,5,FALSE)))</f>
        <v/>
      </c>
      <c r="K48" s="275"/>
      <c r="L48" s="275"/>
      <c r="M48" s="275"/>
      <c r="N48" s="275"/>
      <c r="O48" s="275"/>
      <c r="P48" s="275"/>
      <c r="Q48" s="275"/>
      <c r="R48" s="275"/>
      <c r="S48" s="168"/>
    </row>
    <row r="49" spans="1:19" x14ac:dyDescent="0.25">
      <c r="A49" s="124">
        <v>46</v>
      </c>
      <c r="B49" s="275" t="s">
        <v>695</v>
      </c>
      <c r="C49" s="279" t="e">
        <f t="shared" si="1"/>
        <v>#VALUE!</v>
      </c>
      <c r="D49" s="275"/>
      <c r="E49" s="275"/>
      <c r="F49" s="275"/>
      <c r="G49" s="275"/>
      <c r="H49" s="275"/>
      <c r="I49" s="275" t="str">
        <f>IF(H49="","",(VLOOKUP(H49,'Reference List'!$B$3:$D$173,2,FALSE)))</f>
        <v/>
      </c>
      <c r="J49" s="276" t="str">
        <f>IF(H49="","",(VLOOKUP(H49,'Reference List'!$B$3:$F$202,5,FALSE)))</f>
        <v/>
      </c>
      <c r="K49" s="275"/>
      <c r="L49" s="275"/>
      <c r="M49" s="275"/>
      <c r="N49" s="275"/>
      <c r="O49" s="275"/>
      <c r="P49" s="275"/>
      <c r="Q49" s="275"/>
      <c r="R49" s="275"/>
      <c r="S49" s="168"/>
    </row>
    <row r="50" spans="1:19" x14ac:dyDescent="0.25">
      <c r="A50" s="135">
        <v>47</v>
      </c>
      <c r="B50" s="275" t="s">
        <v>696</v>
      </c>
      <c r="C50" s="279" t="e">
        <f t="shared" si="1"/>
        <v>#VALUE!</v>
      </c>
      <c r="D50" s="275"/>
      <c r="E50" s="275"/>
      <c r="F50" s="275"/>
      <c r="G50" s="275"/>
      <c r="H50" s="275"/>
      <c r="I50" s="275" t="str">
        <f>IF(H50="","",(VLOOKUP(H50,'Reference List'!$B$3:$D$173,2,FALSE)))</f>
        <v/>
      </c>
      <c r="J50" s="276" t="str">
        <f>IF(H50="","",(VLOOKUP(H50,'Reference List'!$B$3:$F$202,5,FALSE)))</f>
        <v/>
      </c>
      <c r="K50" s="275"/>
      <c r="L50" s="275"/>
      <c r="M50" s="275"/>
      <c r="N50" s="275"/>
      <c r="O50" s="275"/>
      <c r="P50" s="275"/>
      <c r="Q50" s="275"/>
      <c r="R50" s="275"/>
      <c r="S50" s="168"/>
    </row>
    <row r="51" spans="1:19" x14ac:dyDescent="0.25">
      <c r="A51" s="124">
        <v>48</v>
      </c>
      <c r="B51" s="275" t="s">
        <v>697</v>
      </c>
      <c r="C51" s="279" t="e">
        <f t="shared" si="1"/>
        <v>#VALUE!</v>
      </c>
      <c r="D51" s="275"/>
      <c r="E51" s="275"/>
      <c r="F51" s="275"/>
      <c r="G51" s="275"/>
      <c r="H51" s="275"/>
      <c r="I51" s="275" t="str">
        <f>IF(H51="","",(VLOOKUP(H51,'Reference List'!$B$3:$D$173,2,FALSE)))</f>
        <v/>
      </c>
      <c r="J51" s="276" t="str">
        <f>IF(H51="","",(VLOOKUP(H51,'Reference List'!$B$3:$F$202,5,FALSE)))</f>
        <v/>
      </c>
      <c r="K51" s="275"/>
      <c r="L51" s="275"/>
      <c r="M51" s="275"/>
      <c r="N51" s="275"/>
      <c r="O51" s="275"/>
      <c r="P51" s="275"/>
      <c r="Q51" s="275"/>
      <c r="R51" s="275"/>
      <c r="S51" s="168"/>
    </row>
    <row r="52" spans="1:19" x14ac:dyDescent="0.25">
      <c r="A52" s="124">
        <v>49</v>
      </c>
      <c r="B52" s="275" t="s">
        <v>698</v>
      </c>
      <c r="C52" s="279" t="e">
        <f t="shared" si="1"/>
        <v>#VALUE!</v>
      </c>
      <c r="D52" s="275"/>
      <c r="E52" s="275"/>
      <c r="F52" s="275"/>
      <c r="G52" s="275"/>
      <c r="H52" s="275"/>
      <c r="I52" s="275" t="str">
        <f>IF(H52="","",(VLOOKUP(H52,'Reference List'!$B$3:$D$173,2,FALSE)))</f>
        <v/>
      </c>
      <c r="J52" s="276" t="str">
        <f>IF(H52="","",(VLOOKUP(H52,'Reference List'!$B$3:$F$202,5,FALSE)))</f>
        <v/>
      </c>
      <c r="K52" s="275"/>
      <c r="L52" s="275"/>
      <c r="M52" s="275"/>
      <c r="N52" s="275"/>
      <c r="O52" s="275"/>
      <c r="P52" s="275"/>
      <c r="Q52" s="275"/>
      <c r="R52" s="275"/>
      <c r="S52" s="168"/>
    </row>
    <row r="53" spans="1:19" x14ac:dyDescent="0.25">
      <c r="A53" s="135">
        <v>50</v>
      </c>
      <c r="B53" s="275" t="s">
        <v>699</v>
      </c>
      <c r="C53" s="279" t="e">
        <f t="shared" si="1"/>
        <v>#VALUE!</v>
      </c>
      <c r="D53" s="275"/>
      <c r="E53" s="275"/>
      <c r="F53" s="275"/>
      <c r="G53" s="275"/>
      <c r="H53" s="275"/>
      <c r="I53" s="275" t="str">
        <f>IF(H53="","",(VLOOKUP(H53,'Reference List'!$B$3:$D$173,2,FALSE)))</f>
        <v/>
      </c>
      <c r="J53" s="276" t="str">
        <f>IF(H53="","",(VLOOKUP(H53,'Reference List'!$B$3:$F$202,5,FALSE)))</f>
        <v/>
      </c>
      <c r="K53" s="275"/>
      <c r="L53" s="275"/>
      <c r="M53" s="275"/>
      <c r="N53" s="275"/>
      <c r="O53" s="275"/>
      <c r="P53" s="275"/>
      <c r="Q53" s="275"/>
      <c r="R53" s="275"/>
      <c r="S53" s="168"/>
    </row>
    <row r="54" spans="1:19" x14ac:dyDescent="0.25">
      <c r="A54" s="124">
        <v>51</v>
      </c>
      <c r="B54" s="275" t="s">
        <v>700</v>
      </c>
      <c r="C54" s="279" t="e">
        <f t="shared" si="1"/>
        <v>#VALUE!</v>
      </c>
      <c r="D54" s="275"/>
      <c r="E54" s="275"/>
      <c r="F54" s="275"/>
      <c r="G54" s="275"/>
      <c r="H54" s="275"/>
      <c r="I54" s="275" t="str">
        <f>IF(H54="","",(VLOOKUP(H54,'Reference List'!$B$3:$D$173,2,FALSE)))</f>
        <v/>
      </c>
      <c r="J54" s="276" t="str">
        <f>IF(H54="","",(VLOOKUP(H54,'Reference List'!$B$3:$F$202,5,FALSE)))</f>
        <v/>
      </c>
      <c r="K54" s="275"/>
      <c r="L54" s="275"/>
      <c r="M54" s="275"/>
      <c r="N54" s="275"/>
      <c r="O54" s="275"/>
      <c r="P54" s="275"/>
      <c r="Q54" s="275"/>
      <c r="R54" s="275"/>
      <c r="S54" s="168"/>
    </row>
    <row r="55" spans="1:19" x14ac:dyDescent="0.25">
      <c r="A55" s="124">
        <v>52</v>
      </c>
      <c r="B55" s="275" t="s">
        <v>701</v>
      </c>
      <c r="C55" s="279" t="e">
        <f t="shared" si="1"/>
        <v>#VALUE!</v>
      </c>
      <c r="D55" s="275"/>
      <c r="E55" s="275"/>
      <c r="F55" s="275"/>
      <c r="G55" s="275"/>
      <c r="H55" s="275"/>
      <c r="I55" s="275" t="str">
        <f>IF(H55="","",(VLOOKUP(H55,'Reference List'!$B$3:$D$173,2,FALSE)))</f>
        <v/>
      </c>
      <c r="J55" s="276" t="str">
        <f>IF(H55="","",(VLOOKUP(H55,'Reference List'!$B$3:$F$202,5,FALSE)))</f>
        <v/>
      </c>
      <c r="K55" s="275"/>
      <c r="L55" s="275"/>
      <c r="M55" s="275"/>
      <c r="N55" s="275"/>
      <c r="O55" s="275"/>
      <c r="P55" s="275"/>
      <c r="Q55" s="275"/>
      <c r="R55" s="275"/>
      <c r="S55" s="168"/>
    </row>
    <row r="56" spans="1:19" x14ac:dyDescent="0.25">
      <c r="A56" s="135">
        <v>53</v>
      </c>
      <c r="B56" s="275" t="s">
        <v>702</v>
      </c>
      <c r="C56" s="279" t="e">
        <f t="shared" si="1"/>
        <v>#VALUE!</v>
      </c>
      <c r="D56" s="275"/>
      <c r="E56" s="275"/>
      <c r="F56" s="275"/>
      <c r="G56" s="275"/>
      <c r="H56" s="275"/>
      <c r="I56" s="275" t="str">
        <f>IF(H56="","",(VLOOKUP(H56,'Reference List'!$B$3:$D$173,2,FALSE)))</f>
        <v/>
      </c>
      <c r="J56" s="276" t="str">
        <f>IF(H56="","",(VLOOKUP(H56,'Reference List'!$B$3:$F$202,5,FALSE)))</f>
        <v/>
      </c>
      <c r="K56" s="275"/>
      <c r="L56" s="275"/>
      <c r="M56" s="275"/>
      <c r="N56" s="275"/>
      <c r="O56" s="275"/>
      <c r="P56" s="275"/>
      <c r="Q56" s="275"/>
      <c r="R56" s="275"/>
      <c r="S56" s="168"/>
    </row>
    <row r="57" spans="1:19" x14ac:dyDescent="0.25">
      <c r="A57" s="124">
        <v>54</v>
      </c>
      <c r="B57" s="275" t="s">
        <v>703</v>
      </c>
      <c r="C57" s="279" t="e">
        <f t="shared" si="1"/>
        <v>#VALUE!</v>
      </c>
      <c r="D57" s="275"/>
      <c r="E57" s="275"/>
      <c r="F57" s="275"/>
      <c r="G57" s="275"/>
      <c r="H57" s="275"/>
      <c r="I57" s="275" t="str">
        <f>IF(H57="","",(VLOOKUP(H57,'Reference List'!$B$3:$D$173,2,FALSE)))</f>
        <v/>
      </c>
      <c r="J57" s="276" t="str">
        <f>IF(H57="","",(VLOOKUP(H57,'Reference List'!$B$3:$F$202,5,FALSE)))</f>
        <v/>
      </c>
      <c r="K57" s="275"/>
      <c r="L57" s="275"/>
      <c r="M57" s="275"/>
      <c r="N57" s="275"/>
      <c r="O57" s="275"/>
      <c r="P57" s="275"/>
      <c r="Q57" s="275"/>
      <c r="R57" s="275"/>
      <c r="S57" s="168"/>
    </row>
    <row r="58" spans="1:19" x14ac:dyDescent="0.25">
      <c r="A58" s="124">
        <v>55</v>
      </c>
      <c r="B58" s="275" t="s">
        <v>704</v>
      </c>
      <c r="C58" s="279" t="e">
        <f t="shared" si="1"/>
        <v>#VALUE!</v>
      </c>
      <c r="D58" s="275"/>
      <c r="E58" s="275"/>
      <c r="F58" s="275"/>
      <c r="G58" s="275"/>
      <c r="H58" s="275"/>
      <c r="I58" s="275" t="str">
        <f>IF(H58="","",(VLOOKUP(H58,'Reference List'!$B$3:$D$173,2,FALSE)))</f>
        <v/>
      </c>
      <c r="J58" s="276" t="str">
        <f>IF(H58="","",(VLOOKUP(H58,'Reference List'!$B$3:$F$202,5,FALSE)))</f>
        <v/>
      </c>
      <c r="K58" s="275"/>
      <c r="L58" s="275"/>
      <c r="M58" s="275"/>
      <c r="N58" s="275"/>
      <c r="O58" s="275"/>
      <c r="P58" s="275"/>
      <c r="Q58" s="275"/>
      <c r="R58" s="275"/>
      <c r="S58" s="168"/>
    </row>
    <row r="59" spans="1:19" x14ac:dyDescent="0.25">
      <c r="A59" s="135">
        <v>56</v>
      </c>
      <c r="B59" s="275" t="s">
        <v>705</v>
      </c>
      <c r="C59" s="279" t="e">
        <f t="shared" si="1"/>
        <v>#VALUE!</v>
      </c>
      <c r="D59" s="275"/>
      <c r="E59" s="275"/>
      <c r="F59" s="275"/>
      <c r="G59" s="275"/>
      <c r="H59" s="275"/>
      <c r="I59" s="275" t="str">
        <f>IF(H59="","",(VLOOKUP(H59,'Reference List'!$B$3:$D$173,2,FALSE)))</f>
        <v/>
      </c>
      <c r="J59" s="276" t="str">
        <f>IF(H59="","",(VLOOKUP(H59,'Reference List'!$B$3:$F$202,5,FALSE)))</f>
        <v/>
      </c>
      <c r="K59" s="275"/>
      <c r="L59" s="275"/>
      <c r="M59" s="275"/>
      <c r="N59" s="275"/>
      <c r="O59" s="275"/>
      <c r="P59" s="275"/>
      <c r="Q59" s="275"/>
      <c r="R59" s="275"/>
      <c r="S59" s="168"/>
    </row>
    <row r="60" spans="1:19" x14ac:dyDescent="0.25">
      <c r="A60" s="124">
        <v>57</v>
      </c>
      <c r="B60" s="275" t="s">
        <v>706</v>
      </c>
      <c r="C60" s="279" t="e">
        <f t="shared" si="1"/>
        <v>#VALUE!</v>
      </c>
      <c r="D60" s="275"/>
      <c r="E60" s="275"/>
      <c r="F60" s="275"/>
      <c r="G60" s="275"/>
      <c r="H60" s="275"/>
      <c r="I60" s="275"/>
      <c r="J60" s="276" t="str">
        <f>IF(H60="","",(VLOOKUP(H60,'Reference List'!$B$3:$F$202,5,FALSE)))</f>
        <v/>
      </c>
      <c r="K60" s="275"/>
      <c r="L60" s="275"/>
      <c r="M60" s="275"/>
      <c r="N60" s="275"/>
      <c r="O60" s="275"/>
      <c r="P60" s="275"/>
      <c r="Q60" s="275"/>
      <c r="R60" s="275"/>
      <c r="S60" s="168"/>
    </row>
    <row r="61" spans="1:19" x14ac:dyDescent="0.25">
      <c r="A61" s="124">
        <v>58</v>
      </c>
      <c r="B61" s="275" t="s">
        <v>707</v>
      </c>
      <c r="C61" s="279" t="e">
        <f t="shared" si="1"/>
        <v>#VALUE!</v>
      </c>
      <c r="D61" s="275"/>
      <c r="E61" s="275"/>
      <c r="F61" s="275"/>
      <c r="G61" s="275"/>
      <c r="H61" s="275"/>
      <c r="I61" s="275"/>
      <c r="J61" s="276" t="str">
        <f>IF(H61="","",(VLOOKUP(H61,'Reference List'!$B$3:$F$202,5,FALSE)))</f>
        <v/>
      </c>
      <c r="K61" s="275"/>
      <c r="L61" s="275"/>
      <c r="M61" s="275"/>
      <c r="N61" s="275"/>
      <c r="O61" s="275"/>
      <c r="P61" s="275"/>
      <c r="Q61" s="275"/>
      <c r="R61" s="275"/>
      <c r="S61" s="168"/>
    </row>
    <row r="62" spans="1:19" x14ac:dyDescent="0.25">
      <c r="A62" s="135">
        <v>59</v>
      </c>
      <c r="B62" s="275" t="s">
        <v>708</v>
      </c>
      <c r="C62" s="279" t="e">
        <f t="shared" si="1"/>
        <v>#VALUE!</v>
      </c>
      <c r="D62" s="275"/>
      <c r="E62" s="275"/>
      <c r="F62" s="275"/>
      <c r="G62" s="275"/>
      <c r="H62" s="275"/>
      <c r="I62" s="275"/>
      <c r="J62" s="275" t="str">
        <f>IF(H62="","",(VLOOKUP(H62,'Reference List'!$B$3:$F$202,5,FALSE)))</f>
        <v/>
      </c>
      <c r="K62" s="275"/>
      <c r="L62" s="275"/>
      <c r="M62" s="275"/>
      <c r="N62" s="275"/>
      <c r="O62" s="275"/>
      <c r="P62" s="275"/>
      <c r="Q62" s="275"/>
      <c r="R62" s="275"/>
      <c r="S62" s="168"/>
    </row>
    <row r="63" spans="1:19" x14ac:dyDescent="0.25">
      <c r="A63" s="124">
        <v>60</v>
      </c>
      <c r="B63" s="275" t="s">
        <v>709</v>
      </c>
      <c r="C63" s="279" t="e">
        <f t="shared" si="1"/>
        <v>#VALUE!</v>
      </c>
      <c r="D63" s="275"/>
      <c r="E63" s="275"/>
      <c r="F63" s="275"/>
      <c r="G63" s="275"/>
      <c r="H63" s="275"/>
      <c r="I63" s="275"/>
      <c r="J63" s="275" t="str">
        <f>IF(H63="","",(VLOOKUP(H63,'Reference List'!$B$3:$F$202,5,FALSE)))</f>
        <v/>
      </c>
      <c r="K63" s="275"/>
      <c r="L63" s="275"/>
      <c r="M63" s="275"/>
      <c r="N63" s="275"/>
      <c r="O63" s="275"/>
      <c r="P63" s="275"/>
      <c r="Q63" s="275"/>
      <c r="R63" s="275"/>
      <c r="S63" s="168"/>
    </row>
    <row r="64" spans="1:19" x14ac:dyDescent="0.25">
      <c r="A64" s="124">
        <v>61</v>
      </c>
      <c r="B64" s="275" t="s">
        <v>710</v>
      </c>
      <c r="C64" s="279" t="e">
        <f t="shared" si="1"/>
        <v>#VALUE!</v>
      </c>
      <c r="D64" s="275"/>
      <c r="E64" s="275"/>
      <c r="F64" s="275"/>
      <c r="G64" s="275"/>
      <c r="H64" s="275"/>
      <c r="I64" s="275"/>
      <c r="J64" s="275" t="str">
        <f>IF(H64="","",(VLOOKUP(H64,'Reference List'!$B$3:$F$202,5,FALSE)))</f>
        <v/>
      </c>
      <c r="K64" s="275"/>
      <c r="L64" s="275"/>
      <c r="M64" s="275"/>
      <c r="N64" s="275"/>
      <c r="O64" s="275"/>
      <c r="P64" s="275"/>
      <c r="Q64" s="275"/>
      <c r="R64" s="275"/>
      <c r="S64" s="168"/>
    </row>
    <row r="65" spans="1:19" x14ac:dyDescent="0.25">
      <c r="A65" s="135">
        <v>62</v>
      </c>
      <c r="B65" s="275" t="s">
        <v>711</v>
      </c>
      <c r="C65" s="279" t="e">
        <f t="shared" si="1"/>
        <v>#VALUE!</v>
      </c>
      <c r="D65" s="275"/>
      <c r="E65" s="275"/>
      <c r="F65" s="275"/>
      <c r="G65" s="275"/>
      <c r="H65" s="275"/>
      <c r="I65" s="275"/>
      <c r="J65" s="275" t="str">
        <f>IF(H65="","",(VLOOKUP(H65,'Reference List'!$B$3:$F$202,5,FALSE)))</f>
        <v/>
      </c>
      <c r="K65" s="275"/>
      <c r="L65" s="275"/>
      <c r="M65" s="275"/>
      <c r="N65" s="275"/>
      <c r="O65" s="275"/>
      <c r="P65" s="275"/>
      <c r="Q65" s="275"/>
      <c r="R65" s="275"/>
      <c r="S65" s="168"/>
    </row>
    <row r="66" spans="1:19" x14ac:dyDescent="0.25">
      <c r="A66" s="124">
        <v>63</v>
      </c>
      <c r="B66" s="275" t="s">
        <v>712</v>
      </c>
      <c r="C66" s="279" t="e">
        <f t="shared" si="1"/>
        <v>#VALUE!</v>
      </c>
      <c r="D66" s="275"/>
      <c r="E66" s="275"/>
      <c r="F66" s="275"/>
      <c r="G66" s="275"/>
      <c r="H66" s="275"/>
      <c r="I66" s="275"/>
      <c r="J66" s="275" t="str">
        <f>IF(H66="","",(VLOOKUP(H66,'Reference List'!$B$3:$F$202,5,FALSE)))</f>
        <v/>
      </c>
      <c r="K66" s="275"/>
      <c r="L66" s="275"/>
      <c r="M66" s="275"/>
      <c r="N66" s="275"/>
      <c r="O66" s="275"/>
      <c r="P66" s="275"/>
      <c r="Q66" s="275"/>
      <c r="R66" s="275"/>
      <c r="S66" s="130"/>
    </row>
    <row r="67" spans="1:19" x14ac:dyDescent="0.25">
      <c r="A67" s="124">
        <v>64</v>
      </c>
      <c r="B67" s="275" t="s">
        <v>713</v>
      </c>
      <c r="C67" s="279" t="e">
        <f t="shared" si="1"/>
        <v>#VALUE!</v>
      </c>
      <c r="D67" s="275"/>
      <c r="E67" s="275"/>
      <c r="F67" s="275"/>
      <c r="G67" s="275"/>
      <c r="H67" s="275"/>
      <c r="I67" s="275"/>
      <c r="J67" s="275" t="str">
        <f>IF(H67="","",(VLOOKUP(H67,'Reference List'!$B$3:$F$202,5,FALSE)))</f>
        <v/>
      </c>
      <c r="K67" s="275"/>
      <c r="L67" s="275"/>
      <c r="M67" s="275"/>
      <c r="N67" s="275"/>
      <c r="O67" s="275"/>
      <c r="P67" s="275"/>
      <c r="Q67" s="275"/>
      <c r="R67" s="275"/>
      <c r="S67" s="130"/>
    </row>
    <row r="68" spans="1:19" x14ac:dyDescent="0.25">
      <c r="A68" s="135">
        <v>65</v>
      </c>
      <c r="B68" s="275" t="s">
        <v>714</v>
      </c>
      <c r="C68" s="279" t="e">
        <f t="shared" si="1"/>
        <v>#VALUE!</v>
      </c>
      <c r="D68" s="275"/>
      <c r="E68" s="275"/>
      <c r="F68" s="275"/>
      <c r="G68" s="275"/>
      <c r="H68" s="275"/>
      <c r="I68" s="275"/>
      <c r="J68" s="275" t="str">
        <f>IF(H68="","",(VLOOKUP(H68,'Reference List'!$B$3:$F$202,5,FALSE)))</f>
        <v/>
      </c>
      <c r="K68" s="275"/>
      <c r="L68" s="275"/>
      <c r="M68" s="275"/>
      <c r="N68" s="275"/>
      <c r="O68" s="275"/>
      <c r="P68" s="275"/>
      <c r="Q68" s="275"/>
      <c r="R68" s="275"/>
      <c r="S68" s="130"/>
    </row>
    <row r="69" spans="1:19" x14ac:dyDescent="0.25">
      <c r="A69" s="124">
        <v>66</v>
      </c>
      <c r="B69" s="275" t="s">
        <v>715</v>
      </c>
      <c r="C69" s="279" t="e">
        <f t="shared" si="1"/>
        <v>#VALUE!</v>
      </c>
      <c r="D69" s="275"/>
      <c r="E69" s="275"/>
      <c r="F69" s="275"/>
      <c r="G69" s="275"/>
      <c r="H69" s="275"/>
      <c r="I69" s="275"/>
      <c r="J69" s="275" t="str">
        <f>IF(H69="","",(VLOOKUP(H69,'Reference List'!$B$3:$F$202,5,FALSE)))</f>
        <v/>
      </c>
      <c r="K69" s="275"/>
      <c r="L69" s="275"/>
      <c r="M69" s="275"/>
      <c r="N69" s="275"/>
      <c r="O69" s="275"/>
      <c r="P69" s="275"/>
      <c r="Q69" s="275"/>
      <c r="R69" s="275"/>
      <c r="S69" s="130"/>
    </row>
    <row r="70" spans="1:19" x14ac:dyDescent="0.25">
      <c r="A70" s="124">
        <v>67</v>
      </c>
      <c r="B70" s="275" t="s">
        <v>716</v>
      </c>
      <c r="C70" s="279" t="e">
        <f t="shared" si="1"/>
        <v>#VALUE!</v>
      </c>
      <c r="D70" s="275"/>
      <c r="E70" s="275"/>
      <c r="F70" s="275"/>
      <c r="G70" s="275"/>
      <c r="H70" s="275"/>
      <c r="I70" s="275"/>
      <c r="J70" s="275" t="str">
        <f>IF(H70="","",(VLOOKUP(H70,'Reference List'!$B$3:$F$202,5,FALSE)))</f>
        <v/>
      </c>
      <c r="K70" s="275"/>
      <c r="L70" s="275"/>
      <c r="M70" s="275"/>
      <c r="N70" s="275"/>
      <c r="O70" s="275"/>
      <c r="P70" s="275"/>
      <c r="Q70" s="275"/>
      <c r="R70" s="275"/>
      <c r="S70" s="130"/>
    </row>
    <row r="71" spans="1:19" x14ac:dyDescent="0.25">
      <c r="A71" s="135">
        <v>68</v>
      </c>
      <c r="B71" s="275" t="s">
        <v>717</v>
      </c>
      <c r="C71" s="279" t="e">
        <f t="shared" si="1"/>
        <v>#VALUE!</v>
      </c>
      <c r="D71" s="275"/>
      <c r="E71" s="275"/>
      <c r="F71" s="275"/>
      <c r="G71" s="275"/>
      <c r="H71" s="275"/>
      <c r="I71" s="275"/>
      <c r="J71" s="275" t="str">
        <f>IF(H71="","",(VLOOKUP(H71,'Reference List'!$B$3:$F$202,5,FALSE)))</f>
        <v/>
      </c>
      <c r="K71" s="275"/>
      <c r="L71" s="275"/>
      <c r="M71" s="275"/>
      <c r="N71" s="275"/>
      <c r="O71" s="275"/>
      <c r="P71" s="275"/>
      <c r="Q71" s="275"/>
      <c r="R71" s="275"/>
      <c r="S71" s="130"/>
    </row>
    <row r="72" spans="1:19" x14ac:dyDescent="0.25">
      <c r="A72" s="124">
        <v>69</v>
      </c>
      <c r="B72" s="275" t="s">
        <v>718</v>
      </c>
      <c r="C72" s="279" t="e">
        <f t="shared" si="1"/>
        <v>#VALUE!</v>
      </c>
      <c r="D72" s="275"/>
      <c r="E72" s="275"/>
      <c r="F72" s="275"/>
      <c r="G72" s="275"/>
      <c r="H72" s="275"/>
      <c r="I72" s="275"/>
      <c r="J72" s="275" t="str">
        <f>IF(H72="","",(VLOOKUP(H72,'Reference List'!$B$3:$F$202,5,FALSE)))</f>
        <v/>
      </c>
      <c r="K72" s="275"/>
      <c r="L72" s="275"/>
      <c r="M72" s="275"/>
      <c r="N72" s="275"/>
      <c r="O72" s="275"/>
      <c r="P72" s="275"/>
      <c r="Q72" s="275"/>
      <c r="R72" s="275"/>
      <c r="S72" s="130"/>
    </row>
    <row r="73" spans="1:19" x14ac:dyDescent="0.25">
      <c r="A73" s="124">
        <v>70</v>
      </c>
      <c r="B73" s="275" t="s">
        <v>719</v>
      </c>
      <c r="C73" s="279" t="e">
        <f t="shared" si="1"/>
        <v>#VALUE!</v>
      </c>
      <c r="D73" s="275"/>
      <c r="E73" s="275"/>
      <c r="F73" s="275"/>
      <c r="G73" s="275"/>
      <c r="H73" s="275"/>
      <c r="I73" s="275"/>
      <c r="J73" s="275" t="str">
        <f>IF(H73="","",(VLOOKUP(H73,'Reference List'!$B$3:$F$202,5,FALSE)))</f>
        <v/>
      </c>
      <c r="K73" s="275"/>
      <c r="L73" s="275"/>
      <c r="M73" s="275"/>
      <c r="N73" s="275"/>
      <c r="O73" s="275"/>
      <c r="P73" s="275"/>
      <c r="Q73" s="275"/>
      <c r="R73" s="275"/>
      <c r="S73" s="130"/>
    </row>
    <row r="74" spans="1:19" x14ac:dyDescent="0.25">
      <c r="A74" s="135">
        <v>71</v>
      </c>
      <c r="B74" s="275" t="s">
        <v>720</v>
      </c>
      <c r="C74" s="279" t="e">
        <f t="shared" si="1"/>
        <v>#VALUE!</v>
      </c>
      <c r="D74" s="275"/>
      <c r="E74" s="275"/>
      <c r="F74" s="275"/>
      <c r="G74" s="275"/>
      <c r="H74" s="275"/>
      <c r="I74" s="275"/>
      <c r="J74" s="275" t="str">
        <f>IF(H74="","",(VLOOKUP(H74,'Reference List'!$B$3:$F$202,5,FALSE)))</f>
        <v/>
      </c>
      <c r="K74" s="275"/>
      <c r="L74" s="275"/>
      <c r="M74" s="275"/>
      <c r="N74" s="275"/>
      <c r="O74" s="275"/>
      <c r="P74" s="275"/>
      <c r="Q74" s="275"/>
      <c r="R74" s="275"/>
      <c r="S74" s="130"/>
    </row>
    <row r="75" spans="1:19" x14ac:dyDescent="0.25">
      <c r="A75" s="124">
        <v>72</v>
      </c>
      <c r="B75" s="275" t="s">
        <v>721</v>
      </c>
      <c r="C75" s="279" t="e">
        <f t="shared" si="1"/>
        <v>#VALUE!</v>
      </c>
      <c r="D75" s="275"/>
      <c r="E75" s="275"/>
      <c r="F75" s="275"/>
      <c r="G75" s="275"/>
      <c r="H75" s="275"/>
      <c r="I75" s="275"/>
      <c r="J75" s="275" t="str">
        <f>IF(H75="","",(VLOOKUP(H75,'Reference List'!$B$3:$F$202,5,FALSE)))</f>
        <v/>
      </c>
      <c r="K75" s="275"/>
      <c r="L75" s="275"/>
      <c r="M75" s="275"/>
      <c r="N75" s="275"/>
      <c r="O75" s="275"/>
      <c r="P75" s="275"/>
      <c r="Q75" s="275"/>
      <c r="R75" s="275"/>
      <c r="S75" s="130"/>
    </row>
    <row r="76" spans="1:19" x14ac:dyDescent="0.25">
      <c r="A76" s="124">
        <v>73</v>
      </c>
      <c r="B76" s="275" t="s">
        <v>722</v>
      </c>
      <c r="C76" s="279" t="e">
        <f t="shared" si="1"/>
        <v>#VALUE!</v>
      </c>
      <c r="D76" s="275"/>
      <c r="E76" s="275"/>
      <c r="F76" s="275"/>
      <c r="G76" s="275"/>
      <c r="H76" s="275"/>
      <c r="I76" s="275"/>
      <c r="J76" s="275" t="str">
        <f>IF(H76="","",(VLOOKUP(H76,'Reference List'!$B$3:$F$202,5,FALSE)))</f>
        <v/>
      </c>
      <c r="K76" s="275"/>
      <c r="L76" s="275"/>
      <c r="M76" s="275"/>
      <c r="N76" s="275"/>
      <c r="O76" s="275"/>
      <c r="P76" s="275"/>
      <c r="Q76" s="275"/>
      <c r="R76" s="275"/>
      <c r="S76" s="130"/>
    </row>
    <row r="77" spans="1:19" x14ac:dyDescent="0.25">
      <c r="A77" s="135">
        <v>74</v>
      </c>
      <c r="B77" s="275" t="s">
        <v>723</v>
      </c>
      <c r="C77" s="279" t="e">
        <f t="shared" si="1"/>
        <v>#VALUE!</v>
      </c>
      <c r="D77" s="275"/>
      <c r="E77" s="275"/>
      <c r="F77" s="275"/>
      <c r="G77" s="275"/>
      <c r="H77" s="275"/>
      <c r="I77" s="275"/>
      <c r="J77" s="275" t="str">
        <f>IF(H77="","",(VLOOKUP(H77,'Reference List'!$B$3:$F$202,5,FALSE)))</f>
        <v/>
      </c>
      <c r="K77" s="275"/>
      <c r="L77" s="275"/>
      <c r="M77" s="275"/>
      <c r="N77" s="275"/>
      <c r="O77" s="275"/>
      <c r="P77" s="275"/>
      <c r="Q77" s="275"/>
      <c r="R77" s="275"/>
      <c r="S77" s="130"/>
    </row>
    <row r="78" spans="1:19" x14ac:dyDescent="0.25">
      <c r="A78" s="124">
        <v>75</v>
      </c>
      <c r="B78" s="275" t="s">
        <v>724</v>
      </c>
      <c r="C78" s="279" t="e">
        <f t="shared" si="1"/>
        <v>#VALUE!</v>
      </c>
      <c r="D78" s="275"/>
      <c r="E78" s="275"/>
      <c r="F78" s="275"/>
      <c r="G78" s="275"/>
      <c r="H78" s="275"/>
      <c r="I78" s="275"/>
      <c r="J78" s="275" t="str">
        <f>IF(H78="","",(VLOOKUP(H78,'Reference List'!$B$3:$F$202,5,FALSE)))</f>
        <v/>
      </c>
      <c r="K78" s="275"/>
      <c r="L78" s="275"/>
      <c r="M78" s="275"/>
      <c r="N78" s="275"/>
      <c r="O78" s="275"/>
      <c r="P78" s="275"/>
      <c r="Q78" s="275"/>
      <c r="R78" s="275"/>
      <c r="S78" s="130"/>
    </row>
    <row r="79" spans="1:19" x14ac:dyDescent="0.25">
      <c r="A79" s="124">
        <v>76</v>
      </c>
      <c r="B79" s="275" t="s">
        <v>725</v>
      </c>
      <c r="C79" s="279" t="e">
        <f t="shared" si="1"/>
        <v>#VALUE!</v>
      </c>
      <c r="D79" s="275"/>
      <c r="E79" s="275"/>
      <c r="F79" s="275"/>
      <c r="G79" s="275"/>
      <c r="H79" s="275"/>
      <c r="I79" s="275"/>
      <c r="J79" s="275" t="str">
        <f>IF(H79="","",(VLOOKUP(H79,'Reference List'!$B$3:$F$202,5,FALSE)))</f>
        <v/>
      </c>
      <c r="K79" s="275"/>
      <c r="L79" s="275"/>
      <c r="M79" s="275"/>
      <c r="N79" s="275"/>
      <c r="O79" s="275"/>
      <c r="P79" s="275"/>
      <c r="Q79" s="275"/>
      <c r="R79" s="275"/>
      <c r="S79" s="130"/>
    </row>
    <row r="80" spans="1:19" x14ac:dyDescent="0.25">
      <c r="A80" s="135">
        <v>77</v>
      </c>
      <c r="B80" s="275" t="s">
        <v>726</v>
      </c>
      <c r="C80" s="279" t="e">
        <f t="shared" si="1"/>
        <v>#VALUE!</v>
      </c>
      <c r="D80" s="275"/>
      <c r="E80" s="275"/>
      <c r="F80" s="275"/>
      <c r="G80" s="275"/>
      <c r="H80" s="275"/>
      <c r="I80" s="275"/>
      <c r="J80" s="275" t="str">
        <f>IF(H80="","",(VLOOKUP(H80,'Reference List'!$B$3:$F$202,5,FALSE)))</f>
        <v/>
      </c>
      <c r="K80" s="275"/>
      <c r="L80" s="275"/>
      <c r="M80" s="275"/>
      <c r="N80" s="275"/>
      <c r="O80" s="275"/>
      <c r="P80" s="275"/>
      <c r="Q80" s="275"/>
      <c r="R80" s="275"/>
      <c r="S80" s="130"/>
    </row>
    <row r="81" spans="1:19" x14ac:dyDescent="0.25">
      <c r="A81" s="124">
        <v>78</v>
      </c>
      <c r="B81" s="275" t="s">
        <v>727</v>
      </c>
      <c r="C81" s="279" t="e">
        <f t="shared" si="1"/>
        <v>#VALUE!</v>
      </c>
      <c r="D81" s="275"/>
      <c r="E81" s="275"/>
      <c r="F81" s="275"/>
      <c r="G81" s="275"/>
      <c r="H81" s="275"/>
      <c r="I81" s="275"/>
      <c r="J81" s="275" t="str">
        <f>IF(H81="","",(VLOOKUP(H81,'Reference List'!$B$3:$F$202,5,FALSE)))</f>
        <v/>
      </c>
      <c r="K81" s="275"/>
      <c r="L81" s="275"/>
      <c r="M81" s="275"/>
      <c r="N81" s="275"/>
      <c r="O81" s="275"/>
      <c r="P81" s="275"/>
      <c r="Q81" s="275"/>
      <c r="R81" s="275"/>
      <c r="S81" s="130"/>
    </row>
    <row r="82" spans="1:19" x14ac:dyDescent="0.25">
      <c r="A82" s="124">
        <v>79</v>
      </c>
      <c r="B82" s="275" t="s">
        <v>728</v>
      </c>
      <c r="C82" s="279" t="e">
        <f t="shared" si="1"/>
        <v>#VALUE!</v>
      </c>
      <c r="D82" s="275"/>
      <c r="E82" s="275"/>
      <c r="F82" s="275"/>
      <c r="G82" s="275"/>
      <c r="H82" s="275"/>
      <c r="I82" s="275"/>
      <c r="J82" s="275" t="str">
        <f>IF(H82="","",(VLOOKUP(H82,'Reference List'!$B$3:$F$202,5,FALSE)))</f>
        <v/>
      </c>
      <c r="K82" s="275"/>
      <c r="L82" s="275"/>
      <c r="M82" s="275"/>
      <c r="N82" s="275"/>
      <c r="O82" s="275"/>
      <c r="P82" s="275"/>
      <c r="Q82" s="275"/>
      <c r="R82" s="275"/>
      <c r="S82" s="130"/>
    </row>
    <row r="83" spans="1:19" x14ac:dyDescent="0.25">
      <c r="A83" s="135">
        <v>80</v>
      </c>
      <c r="B83" s="275" t="s">
        <v>729</v>
      </c>
      <c r="C83" s="279" t="e">
        <f t="shared" si="1"/>
        <v>#VALUE!</v>
      </c>
      <c r="D83" s="275"/>
      <c r="E83" s="275"/>
      <c r="F83" s="275"/>
      <c r="G83" s="275"/>
      <c r="H83" s="275"/>
      <c r="I83" s="275"/>
      <c r="J83" s="275" t="str">
        <f>IF(H83="","",(VLOOKUP(H83,'Reference List'!$B$3:$F$202,5,FALSE)))</f>
        <v/>
      </c>
      <c r="K83" s="275"/>
      <c r="L83" s="275"/>
      <c r="M83" s="275"/>
      <c r="N83" s="275"/>
      <c r="O83" s="275"/>
      <c r="P83" s="275"/>
      <c r="Q83" s="275"/>
      <c r="R83" s="275"/>
      <c r="S83" s="130"/>
    </row>
    <row r="84" spans="1:19" x14ac:dyDescent="0.25">
      <c r="A84" s="124">
        <v>81</v>
      </c>
      <c r="B84" s="275" t="s">
        <v>730</v>
      </c>
      <c r="C84" s="279" t="e">
        <f t="shared" si="1"/>
        <v>#VALUE!</v>
      </c>
      <c r="D84" s="275"/>
      <c r="E84" s="275"/>
      <c r="F84" s="275"/>
      <c r="G84" s="275"/>
      <c r="H84" s="275"/>
      <c r="I84" s="275"/>
      <c r="J84" s="275" t="str">
        <f>IF(H84="","",(VLOOKUP(H84,'Reference List'!$B$3:$F$202,5,FALSE)))</f>
        <v/>
      </c>
      <c r="K84" s="275"/>
      <c r="L84" s="275"/>
      <c r="M84" s="275"/>
      <c r="N84" s="275"/>
      <c r="O84" s="275"/>
      <c r="P84" s="275"/>
      <c r="Q84" s="275"/>
      <c r="R84" s="275"/>
      <c r="S84" s="130"/>
    </row>
    <row r="85" spans="1:19" x14ac:dyDescent="0.25">
      <c r="A85" s="124">
        <v>82</v>
      </c>
      <c r="B85" s="275" t="s">
        <v>731</v>
      </c>
      <c r="C85" s="279" t="e">
        <f t="shared" si="1"/>
        <v>#VALUE!</v>
      </c>
      <c r="D85" s="275"/>
      <c r="E85" s="275"/>
      <c r="F85" s="275"/>
      <c r="G85" s="275"/>
      <c r="H85" s="275"/>
      <c r="I85" s="275"/>
      <c r="J85" s="275" t="str">
        <f>IF(H85="","",(VLOOKUP(H85,'Reference List'!$B$3:$F$202,5,FALSE)))</f>
        <v/>
      </c>
      <c r="K85" s="275"/>
      <c r="L85" s="275"/>
      <c r="M85" s="275"/>
      <c r="N85" s="275"/>
      <c r="O85" s="275"/>
      <c r="P85" s="275"/>
      <c r="Q85" s="275"/>
      <c r="R85" s="275"/>
      <c r="S85" s="130"/>
    </row>
    <row r="86" spans="1:19" x14ac:dyDescent="0.25">
      <c r="A86" s="135">
        <v>83</v>
      </c>
      <c r="B86" s="275" t="s">
        <v>732</v>
      </c>
      <c r="C86" s="279" t="e">
        <f t="shared" si="1"/>
        <v>#VALUE!</v>
      </c>
      <c r="D86" s="275"/>
      <c r="E86" s="275"/>
      <c r="F86" s="275"/>
      <c r="G86" s="275"/>
      <c r="H86" s="275"/>
      <c r="I86" s="275"/>
      <c r="J86" s="275" t="str">
        <f>IF(H86="","",(VLOOKUP(H86,'Reference List'!$B$3:$F$202,5,FALSE)))</f>
        <v/>
      </c>
      <c r="K86" s="275"/>
      <c r="L86" s="275"/>
      <c r="M86" s="275"/>
      <c r="N86" s="275"/>
      <c r="O86" s="275"/>
      <c r="P86" s="275"/>
      <c r="Q86" s="275"/>
      <c r="R86" s="275"/>
      <c r="S86" s="130"/>
    </row>
    <row r="87" spans="1:19" x14ac:dyDescent="0.25">
      <c r="A87" s="124">
        <v>84</v>
      </c>
      <c r="B87" s="275" t="s">
        <v>733</v>
      </c>
      <c r="C87" s="279" t="e">
        <f t="shared" ref="C87:C103" si="2">$Q$2</f>
        <v>#VALUE!</v>
      </c>
      <c r="D87" s="275"/>
      <c r="E87" s="275"/>
      <c r="F87" s="275"/>
      <c r="G87" s="275"/>
      <c r="H87" s="275"/>
      <c r="I87" s="275"/>
      <c r="J87" s="275" t="str">
        <f>IF(H87="","",(VLOOKUP(H87,'Reference List'!$B$3:$F$202,5,FALSE)))</f>
        <v/>
      </c>
      <c r="K87" s="275"/>
      <c r="L87" s="275"/>
      <c r="M87" s="275"/>
      <c r="N87" s="275"/>
      <c r="O87" s="275"/>
      <c r="P87" s="275"/>
      <c r="Q87" s="275"/>
      <c r="R87" s="275"/>
      <c r="S87" s="130"/>
    </row>
    <row r="88" spans="1:19" x14ac:dyDescent="0.25">
      <c r="A88" s="124">
        <v>85</v>
      </c>
      <c r="B88" s="275" t="s">
        <v>734</v>
      </c>
      <c r="C88" s="279" t="e">
        <f t="shared" si="2"/>
        <v>#VALUE!</v>
      </c>
      <c r="D88" s="275"/>
      <c r="E88" s="275"/>
      <c r="F88" s="275"/>
      <c r="G88" s="275"/>
      <c r="H88" s="275"/>
      <c r="I88" s="275"/>
      <c r="J88" s="275" t="str">
        <f>IF(H88="","",(VLOOKUP(H88,'Reference List'!$B$3:$F$202,5,FALSE)))</f>
        <v/>
      </c>
      <c r="K88" s="275"/>
      <c r="L88" s="275"/>
      <c r="M88" s="275"/>
      <c r="N88" s="275"/>
      <c r="O88" s="275"/>
      <c r="P88" s="275"/>
      <c r="Q88" s="275"/>
      <c r="R88" s="275"/>
      <c r="S88" s="130"/>
    </row>
    <row r="89" spans="1:19" x14ac:dyDescent="0.25">
      <c r="A89" s="135">
        <v>86</v>
      </c>
      <c r="B89" s="275" t="s">
        <v>735</v>
      </c>
      <c r="C89" s="279" t="e">
        <f t="shared" si="2"/>
        <v>#VALUE!</v>
      </c>
      <c r="D89" s="275"/>
      <c r="E89" s="275"/>
      <c r="F89" s="275"/>
      <c r="G89" s="275"/>
      <c r="H89" s="275"/>
      <c r="I89" s="275"/>
      <c r="J89" s="275" t="str">
        <f>IF(H89="","",(VLOOKUP(H89,'Reference List'!$B$3:$F$202,5,FALSE)))</f>
        <v/>
      </c>
      <c r="K89" s="275"/>
      <c r="L89" s="275"/>
      <c r="M89" s="275"/>
      <c r="N89" s="275"/>
      <c r="O89" s="275"/>
      <c r="P89" s="275"/>
      <c r="Q89" s="275"/>
      <c r="R89" s="275"/>
      <c r="S89" s="130"/>
    </row>
    <row r="90" spans="1:19" x14ac:dyDescent="0.25">
      <c r="A90" s="124">
        <v>87</v>
      </c>
      <c r="B90" s="275" t="s">
        <v>736</v>
      </c>
      <c r="C90" s="279" t="e">
        <f t="shared" si="2"/>
        <v>#VALUE!</v>
      </c>
      <c r="D90" s="275"/>
      <c r="E90" s="275"/>
      <c r="F90" s="275"/>
      <c r="G90" s="275"/>
      <c r="H90" s="275"/>
      <c r="I90" s="275"/>
      <c r="J90" s="275" t="str">
        <f>IF(H90="","",(VLOOKUP(H90,'Reference List'!$B$3:$F$202,5,FALSE)))</f>
        <v/>
      </c>
      <c r="K90" s="275"/>
      <c r="L90" s="275"/>
      <c r="M90" s="275"/>
      <c r="N90" s="275"/>
      <c r="O90" s="275"/>
      <c r="P90" s="275"/>
      <c r="Q90" s="275"/>
      <c r="R90" s="275"/>
      <c r="S90" s="130"/>
    </row>
    <row r="91" spans="1:19" x14ac:dyDescent="0.25">
      <c r="A91" s="124">
        <v>88</v>
      </c>
      <c r="B91" s="275" t="s">
        <v>737</v>
      </c>
      <c r="C91" s="279" t="e">
        <f t="shared" si="2"/>
        <v>#VALUE!</v>
      </c>
      <c r="D91" s="275"/>
      <c r="E91" s="275"/>
      <c r="F91" s="275"/>
      <c r="G91" s="275"/>
      <c r="H91" s="275"/>
      <c r="I91" s="275"/>
      <c r="J91" s="275" t="str">
        <f>IF(H91="","",(VLOOKUP(H91,'Reference List'!$B$3:$F$202,5,FALSE)))</f>
        <v/>
      </c>
      <c r="K91" s="275"/>
      <c r="L91" s="275"/>
      <c r="M91" s="275"/>
      <c r="N91" s="275"/>
      <c r="O91" s="275"/>
      <c r="P91" s="275"/>
      <c r="Q91" s="275"/>
      <c r="R91" s="275"/>
      <c r="S91" s="130"/>
    </row>
    <row r="92" spans="1:19" x14ac:dyDescent="0.25">
      <c r="A92" s="135">
        <v>89</v>
      </c>
      <c r="B92" s="275" t="s">
        <v>738</v>
      </c>
      <c r="C92" s="279" t="e">
        <f t="shared" si="2"/>
        <v>#VALUE!</v>
      </c>
      <c r="D92" s="275"/>
      <c r="E92" s="275"/>
      <c r="F92" s="275"/>
      <c r="G92" s="275"/>
      <c r="H92" s="275"/>
      <c r="I92" s="275"/>
      <c r="J92" s="275" t="str">
        <f>IF(H92="","",(VLOOKUP(H92,'Reference List'!$B$3:$F$202,5,FALSE)))</f>
        <v/>
      </c>
      <c r="K92" s="275"/>
      <c r="L92" s="275"/>
      <c r="M92" s="275"/>
      <c r="N92" s="275"/>
      <c r="O92" s="275"/>
      <c r="P92" s="275"/>
      <c r="Q92" s="275"/>
      <c r="R92" s="275"/>
      <c r="S92" s="130"/>
    </row>
    <row r="93" spans="1:19" x14ac:dyDescent="0.25">
      <c r="A93" s="124">
        <v>90</v>
      </c>
      <c r="B93" s="275" t="s">
        <v>739</v>
      </c>
      <c r="C93" s="279" t="e">
        <f t="shared" si="2"/>
        <v>#VALUE!</v>
      </c>
      <c r="D93" s="275"/>
      <c r="E93" s="275"/>
      <c r="F93" s="275"/>
      <c r="G93" s="275"/>
      <c r="H93" s="275"/>
      <c r="I93" s="275"/>
      <c r="J93" s="275" t="str">
        <f>IF(H93="","",(VLOOKUP(H93,'Reference List'!$B$3:$F$202,5,FALSE)))</f>
        <v/>
      </c>
      <c r="K93" s="275"/>
      <c r="L93" s="275"/>
      <c r="M93" s="275"/>
      <c r="N93" s="275"/>
      <c r="O93" s="275"/>
      <c r="P93" s="275"/>
      <c r="Q93" s="275"/>
      <c r="R93" s="275"/>
      <c r="S93" s="130"/>
    </row>
    <row r="94" spans="1:19" x14ac:dyDescent="0.25">
      <c r="A94" s="124">
        <v>91</v>
      </c>
      <c r="B94" s="275" t="s">
        <v>740</v>
      </c>
      <c r="C94" s="279" t="e">
        <f t="shared" si="2"/>
        <v>#VALUE!</v>
      </c>
      <c r="D94" s="275"/>
      <c r="E94" s="275"/>
      <c r="F94" s="275"/>
      <c r="G94" s="275"/>
      <c r="H94" s="275"/>
      <c r="I94" s="275"/>
      <c r="J94" s="275" t="str">
        <f>IF(H94="","",(VLOOKUP(H94,'Reference List'!$B$3:$F$202,5,FALSE)))</f>
        <v/>
      </c>
      <c r="K94" s="275"/>
      <c r="L94" s="275"/>
      <c r="M94" s="275"/>
      <c r="N94" s="275"/>
      <c r="O94" s="275"/>
      <c r="P94" s="275"/>
      <c r="Q94" s="275"/>
      <c r="R94" s="275"/>
      <c r="S94" s="130"/>
    </row>
    <row r="95" spans="1:19" x14ac:dyDescent="0.25">
      <c r="A95" s="135">
        <v>92</v>
      </c>
      <c r="B95" s="275" t="s">
        <v>741</v>
      </c>
      <c r="C95" s="279" t="e">
        <f t="shared" si="2"/>
        <v>#VALUE!</v>
      </c>
      <c r="D95" s="275"/>
      <c r="E95" s="275"/>
      <c r="F95" s="275"/>
      <c r="G95" s="275"/>
      <c r="H95" s="275"/>
      <c r="I95" s="275"/>
      <c r="J95" s="275" t="str">
        <f>IF(H95="","",(VLOOKUP(H95,'Reference List'!$B$3:$F$202,5,FALSE)))</f>
        <v/>
      </c>
      <c r="K95" s="275"/>
      <c r="L95" s="275"/>
      <c r="M95" s="275"/>
      <c r="N95" s="275"/>
      <c r="O95" s="275"/>
      <c r="P95" s="275"/>
      <c r="Q95" s="275"/>
      <c r="R95" s="275"/>
      <c r="S95" s="130"/>
    </row>
    <row r="96" spans="1:19" x14ac:dyDescent="0.25">
      <c r="A96" s="124">
        <v>93</v>
      </c>
      <c r="B96" s="275" t="s">
        <v>742</v>
      </c>
      <c r="C96" s="279" t="e">
        <f t="shared" si="2"/>
        <v>#VALUE!</v>
      </c>
      <c r="D96" s="275"/>
      <c r="E96" s="275"/>
      <c r="F96" s="275"/>
      <c r="G96" s="275"/>
      <c r="H96" s="275"/>
      <c r="I96" s="275"/>
      <c r="J96" s="275" t="str">
        <f>IF(H96="","",(VLOOKUP(H96,'Reference List'!$B$3:$F$202,5,FALSE)))</f>
        <v/>
      </c>
      <c r="K96" s="275"/>
      <c r="L96" s="275"/>
      <c r="M96" s="275"/>
      <c r="N96" s="275"/>
      <c r="O96" s="275"/>
      <c r="P96" s="275"/>
      <c r="Q96" s="275"/>
      <c r="R96" s="275"/>
      <c r="S96" s="130"/>
    </row>
    <row r="97" spans="1:19" x14ac:dyDescent="0.25">
      <c r="A97" s="124">
        <v>94</v>
      </c>
      <c r="B97" s="275" t="s">
        <v>743</v>
      </c>
      <c r="C97" s="279" t="e">
        <f t="shared" si="2"/>
        <v>#VALUE!</v>
      </c>
      <c r="D97" s="275"/>
      <c r="E97" s="275"/>
      <c r="F97" s="275"/>
      <c r="G97" s="275"/>
      <c r="H97" s="275"/>
      <c r="I97" s="275"/>
      <c r="J97" s="275" t="str">
        <f>IF(H97="","",(VLOOKUP(H97,'Reference List'!$B$3:$F$202,5,FALSE)))</f>
        <v/>
      </c>
      <c r="K97" s="275"/>
      <c r="L97" s="275"/>
      <c r="M97" s="275"/>
      <c r="N97" s="275"/>
      <c r="O97" s="275"/>
      <c r="P97" s="275"/>
      <c r="Q97" s="275"/>
      <c r="R97" s="275"/>
      <c r="S97" s="130"/>
    </row>
    <row r="98" spans="1:19" x14ac:dyDescent="0.25">
      <c r="A98" s="135">
        <v>95</v>
      </c>
      <c r="B98" s="275" t="s">
        <v>744</v>
      </c>
      <c r="C98" s="279" t="e">
        <f t="shared" si="2"/>
        <v>#VALUE!</v>
      </c>
      <c r="D98" s="275"/>
      <c r="E98" s="275"/>
      <c r="F98" s="275"/>
      <c r="G98" s="275"/>
      <c r="H98" s="275"/>
      <c r="I98" s="275"/>
      <c r="J98" s="275" t="str">
        <f>IF(H98="","",(VLOOKUP(H98,'Reference List'!$B$3:$F$202,5,FALSE)))</f>
        <v/>
      </c>
      <c r="K98" s="275"/>
      <c r="L98" s="275"/>
      <c r="M98" s="275"/>
      <c r="N98" s="275"/>
      <c r="O98" s="275"/>
      <c r="P98" s="275"/>
      <c r="Q98" s="275"/>
      <c r="R98" s="275"/>
      <c r="S98" s="130"/>
    </row>
    <row r="99" spans="1:19" x14ac:dyDescent="0.25">
      <c r="A99" s="124">
        <v>96</v>
      </c>
      <c r="B99" s="275" t="s">
        <v>745</v>
      </c>
      <c r="C99" s="279" t="e">
        <f t="shared" si="2"/>
        <v>#VALUE!</v>
      </c>
      <c r="D99" s="275"/>
      <c r="E99" s="275"/>
      <c r="F99" s="275"/>
      <c r="G99" s="275"/>
      <c r="H99" s="275"/>
      <c r="I99" s="275"/>
      <c r="J99" s="275" t="str">
        <f>IF(H99="","",(VLOOKUP(H99,'Reference List'!$B$3:$F$202,5,FALSE)))</f>
        <v/>
      </c>
      <c r="K99" s="275"/>
      <c r="L99" s="275"/>
      <c r="M99" s="275"/>
      <c r="N99" s="275"/>
      <c r="O99" s="275"/>
      <c r="P99" s="275"/>
      <c r="Q99" s="275"/>
      <c r="R99" s="275"/>
      <c r="S99" s="130"/>
    </row>
    <row r="100" spans="1:19" x14ac:dyDescent="0.25">
      <c r="A100" s="124">
        <v>97</v>
      </c>
      <c r="B100" s="275" t="s">
        <v>746</v>
      </c>
      <c r="C100" s="279" t="e">
        <f t="shared" si="2"/>
        <v>#VALUE!</v>
      </c>
      <c r="D100" s="275"/>
      <c r="E100" s="275"/>
      <c r="F100" s="275"/>
      <c r="G100" s="275"/>
      <c r="H100" s="275"/>
      <c r="I100" s="275"/>
      <c r="J100" s="275" t="str">
        <f>IF(H100="","",(VLOOKUP(H100,'Reference List'!$B$3:$F$202,5,FALSE)))</f>
        <v/>
      </c>
      <c r="K100" s="275"/>
      <c r="L100" s="275"/>
      <c r="M100" s="275"/>
      <c r="N100" s="275"/>
      <c r="O100" s="275"/>
      <c r="P100" s="275"/>
      <c r="Q100" s="275"/>
      <c r="R100" s="275"/>
      <c r="S100" s="130"/>
    </row>
    <row r="101" spans="1:19" x14ac:dyDescent="0.25">
      <c r="A101" s="135">
        <v>98</v>
      </c>
      <c r="B101" s="275" t="s">
        <v>747</v>
      </c>
      <c r="C101" s="279" t="e">
        <f t="shared" si="2"/>
        <v>#VALUE!</v>
      </c>
      <c r="D101" s="275"/>
      <c r="E101" s="275"/>
      <c r="F101" s="275"/>
      <c r="G101" s="275"/>
      <c r="H101" s="275"/>
      <c r="I101" s="275"/>
      <c r="J101" s="275" t="str">
        <f>IF(H101="","",(VLOOKUP(H101,'Reference List'!$B$3:$F$202,5,FALSE)))</f>
        <v/>
      </c>
      <c r="K101" s="275"/>
      <c r="L101" s="275"/>
      <c r="M101" s="275"/>
      <c r="N101" s="275"/>
      <c r="O101" s="275"/>
      <c r="P101" s="275"/>
      <c r="Q101" s="275"/>
      <c r="R101" s="275"/>
      <c r="S101" s="130"/>
    </row>
    <row r="102" spans="1:19" x14ac:dyDescent="0.25">
      <c r="A102" s="124">
        <v>99</v>
      </c>
      <c r="B102" s="275" t="s">
        <v>748</v>
      </c>
      <c r="C102" s="279" t="e">
        <f t="shared" si="2"/>
        <v>#VALUE!</v>
      </c>
      <c r="D102" s="275"/>
      <c r="E102" s="275"/>
      <c r="F102" s="275"/>
      <c r="G102" s="275"/>
      <c r="H102" s="275"/>
      <c r="I102" s="275"/>
      <c r="J102" s="275" t="str">
        <f>IF(H102="","",(VLOOKUP(H102,'Reference List'!$B$3:$F$202,5,FALSE)))</f>
        <v/>
      </c>
      <c r="K102" s="275"/>
      <c r="L102" s="275"/>
      <c r="M102" s="275"/>
      <c r="N102" s="275"/>
      <c r="O102" s="275"/>
      <c r="P102" s="275"/>
      <c r="Q102" s="275"/>
      <c r="R102" s="275"/>
      <c r="S102" s="130"/>
    </row>
    <row r="103" spans="1:19" x14ac:dyDescent="0.25">
      <c r="A103" s="124">
        <v>100</v>
      </c>
      <c r="B103" s="275" t="s">
        <v>749</v>
      </c>
      <c r="C103" s="279" t="e">
        <f t="shared" si="2"/>
        <v>#VALUE!</v>
      </c>
      <c r="D103" s="275"/>
      <c r="E103" s="275"/>
      <c r="F103" s="275"/>
      <c r="G103" s="275"/>
      <c r="H103" s="275"/>
      <c r="I103" s="275"/>
      <c r="J103" s="275" t="str">
        <f>IF(H103="","",(VLOOKUP(H103,'Reference List'!$B$3:$F$202,5,FALSE)))</f>
        <v/>
      </c>
      <c r="K103" s="275"/>
      <c r="L103" s="275"/>
      <c r="M103" s="275"/>
      <c r="N103" s="275"/>
      <c r="O103" s="275"/>
      <c r="P103" s="275"/>
      <c r="Q103" s="275"/>
      <c r="R103" s="275"/>
      <c r="S103" s="130"/>
    </row>
  </sheetData>
  <mergeCells count="5">
    <mergeCell ref="L2:M2"/>
    <mergeCell ref="N2:P2"/>
    <mergeCell ref="Q2:S2"/>
    <mergeCell ref="H4:I4"/>
    <mergeCell ref="H20:I20"/>
  </mergeCells>
  <phoneticPr fontId="74" type="noConversion"/>
  <conditionalFormatting sqref="H41 H8:H17">
    <cfRule type="cellIs" dxfId="47" priority="16" operator="equal">
      <formula>#N/A</formula>
    </cfRule>
  </conditionalFormatting>
  <conditionalFormatting sqref="H3 H22:H23 H6 H25:H41">
    <cfRule type="cellIs" dxfId="46" priority="15" operator="equal">
      <formula>#N/A</formula>
    </cfRule>
  </conditionalFormatting>
  <conditionalFormatting sqref="H42">
    <cfRule type="cellIs" dxfId="45" priority="14" operator="equal">
      <formula>#N/A</formula>
    </cfRule>
  </conditionalFormatting>
  <conditionalFormatting sqref="G1:G2">
    <cfRule type="cellIs" dxfId="44" priority="13" operator="equal">
      <formula>#N/A</formula>
    </cfRule>
  </conditionalFormatting>
  <conditionalFormatting sqref="I37:I59 I6:I18">
    <cfRule type="cellIs" dxfId="43" priority="12" operator="equal">
      <formula>#N/A</formula>
    </cfRule>
  </conditionalFormatting>
  <conditionalFormatting sqref="H19">
    <cfRule type="cellIs" dxfId="42" priority="11" operator="equal">
      <formula>#N/A</formula>
    </cfRule>
  </conditionalFormatting>
  <conditionalFormatting sqref="I22:I36">
    <cfRule type="cellIs" dxfId="41" priority="10" operator="equal">
      <formula>#N/A</formula>
    </cfRule>
  </conditionalFormatting>
  <conditionalFormatting sqref="S6:S18">
    <cfRule type="cellIs" dxfId="40" priority="9" operator="equal">
      <formula>"CH"</formula>
    </cfRule>
  </conditionalFormatting>
  <conditionalFormatting sqref="S22:S58">
    <cfRule type="cellIs" dxfId="39" priority="7" operator="equal">
      <formula>"DRY"</formula>
    </cfRule>
    <cfRule type="cellIs" dxfId="38" priority="8" operator="equal">
      <formula>"CHILLER"</formula>
    </cfRule>
  </conditionalFormatting>
  <conditionalFormatting sqref="S6:S18">
    <cfRule type="cellIs" dxfId="37" priority="6" operator="equal">
      <formula>"DRY"</formula>
    </cfRule>
  </conditionalFormatting>
  <conditionalFormatting sqref="H5">
    <cfRule type="cellIs" dxfId="36" priority="5" operator="equal">
      <formula>#N/A</formula>
    </cfRule>
  </conditionalFormatting>
  <conditionalFormatting sqref="H21">
    <cfRule type="cellIs" dxfId="35" priority="4" operator="equal">
      <formula>#N/A</formula>
    </cfRule>
  </conditionalFormatting>
  <conditionalFormatting sqref="H7">
    <cfRule type="cellIs" dxfId="34" priority="3" operator="equal">
      <formula>#N/A</formula>
    </cfRule>
  </conditionalFormatting>
  <conditionalFormatting sqref="H24">
    <cfRule type="cellIs" dxfId="33" priority="2" operator="equal">
      <formula>#N/A</formula>
    </cfRule>
  </conditionalFormatting>
  <conditionalFormatting sqref="H18">
    <cfRule type="cellIs" dxfId="32" priority="1" operator="equal">
      <formula>#N/A</formula>
    </cfRule>
  </conditionalFormatting>
  <dataValidations count="1">
    <dataValidation type="list" allowBlank="1" showInputMessage="1" showErrorMessage="1" sqref="S6:S18 S22:S56" xr:uid="{5CB94B24-E7F0-445B-A10C-67B83FD4AB5C}">
      <formula1>TEMP</formula1>
    </dataValidation>
  </dataValidations>
  <pageMargins left="0.7" right="0.7" top="0.75" bottom="0.75" header="0.3" footer="0.3"/>
  <pageSetup paperSize="9" scale="78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rint_CoverSheet">
                <anchor moveWithCells="1" sizeWithCells="1">
                  <from>
                    <xdr:col>19</xdr:col>
                    <xdr:colOff>28575</xdr:colOff>
                    <xdr:row>2</xdr:row>
                    <xdr:rowOff>152400</xdr:rowOff>
                  </from>
                  <to>
                    <xdr:col>21</xdr:col>
                    <xdr:colOff>114300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J169"/>
  <sheetViews>
    <sheetView showGridLines="0" topLeftCell="A7" zoomScaleNormal="100" workbookViewId="0">
      <selection activeCell="C18" sqref="C18"/>
    </sheetView>
  </sheetViews>
  <sheetFormatPr defaultColWidth="9.140625" defaultRowHeight="14.25" x14ac:dyDescent="0.2"/>
  <cols>
    <col min="1" max="1" width="6.28515625" style="83" customWidth="1"/>
    <col min="2" max="2" width="49.5703125" style="83" customWidth="1"/>
    <col min="3" max="3" width="58.28515625" style="83" customWidth="1"/>
    <col min="4" max="4" width="16.42578125" style="83" customWidth="1"/>
    <col min="5" max="5" width="42.28515625" style="83" customWidth="1"/>
    <col min="6" max="6" width="22.85546875" style="83" customWidth="1"/>
    <col min="7" max="9" width="9.140625" style="83"/>
    <col min="10" max="10" width="12.85546875" style="83" customWidth="1"/>
    <col min="11" max="16384" width="9.140625" style="83"/>
  </cols>
  <sheetData>
    <row r="1" spans="2:10" ht="15" thickBot="1" x14ac:dyDescent="0.25"/>
    <row r="2" spans="2:10" ht="90" customHeight="1" thickBot="1" x14ac:dyDescent="0.25">
      <c r="B2" s="333" t="s">
        <v>30</v>
      </c>
      <c r="C2" s="334"/>
      <c r="D2" s="335"/>
      <c r="E2" s="333"/>
      <c r="F2" s="334"/>
    </row>
    <row r="3" spans="2:10" ht="21.75" customHeight="1" thickBot="1" x14ac:dyDescent="0.3">
      <c r="B3" s="125" t="s">
        <v>41</v>
      </c>
      <c r="C3" s="125" t="s">
        <v>42</v>
      </c>
      <c r="D3" s="125" t="s">
        <v>43</v>
      </c>
      <c r="E3" s="125" t="s">
        <v>44</v>
      </c>
      <c r="F3" s="125" t="s">
        <v>54</v>
      </c>
      <c r="J3" s="250"/>
    </row>
    <row r="4" spans="2:10" ht="15" x14ac:dyDescent="0.25">
      <c r="B4" s="238" t="s">
        <v>492</v>
      </c>
      <c r="C4" s="238" t="s">
        <v>503</v>
      </c>
      <c r="D4" s="238">
        <v>6105</v>
      </c>
      <c r="E4" s="238"/>
      <c r="F4" s="239" t="s">
        <v>55</v>
      </c>
      <c r="J4" s="251"/>
    </row>
    <row r="5" spans="2:10" ht="15" x14ac:dyDescent="0.25">
      <c r="B5" s="126" t="s">
        <v>511</v>
      </c>
      <c r="C5" s="126" t="s">
        <v>512</v>
      </c>
      <c r="D5" s="126">
        <v>6155</v>
      </c>
      <c r="E5" s="238"/>
      <c r="F5" s="239" t="s">
        <v>55</v>
      </c>
      <c r="J5" s="251"/>
    </row>
    <row r="6" spans="2:10" ht="15" x14ac:dyDescent="0.25">
      <c r="B6" s="126" t="s">
        <v>495</v>
      </c>
      <c r="C6" s="126" t="s">
        <v>506</v>
      </c>
      <c r="D6" s="126">
        <v>6164</v>
      </c>
      <c r="E6" s="238"/>
      <c r="F6" s="239" t="s">
        <v>55</v>
      </c>
      <c r="J6" s="251"/>
    </row>
    <row r="7" spans="2:10" ht="15" x14ac:dyDescent="0.25">
      <c r="B7" s="126" t="s">
        <v>500</v>
      </c>
      <c r="C7" s="126" t="s">
        <v>510</v>
      </c>
      <c r="D7" s="126">
        <v>6105</v>
      </c>
      <c r="E7" s="238"/>
      <c r="F7" s="239" t="s">
        <v>55</v>
      </c>
      <c r="J7" s="251"/>
    </row>
    <row r="8" spans="2:10" ht="15" x14ac:dyDescent="0.25">
      <c r="B8" s="238" t="s">
        <v>550</v>
      </c>
      <c r="C8" s="126" t="s">
        <v>510</v>
      </c>
      <c r="D8" s="126">
        <v>6105</v>
      </c>
      <c r="E8" s="238"/>
      <c r="F8" s="239" t="s">
        <v>55</v>
      </c>
    </row>
    <row r="9" spans="2:10" ht="15" x14ac:dyDescent="0.25">
      <c r="B9" s="238" t="s">
        <v>581</v>
      </c>
      <c r="C9" s="238" t="s">
        <v>582</v>
      </c>
      <c r="D9" s="238">
        <v>6164</v>
      </c>
      <c r="E9" s="238"/>
      <c r="F9" s="239" t="s">
        <v>55</v>
      </c>
    </row>
    <row r="10" spans="2:10" ht="15" x14ac:dyDescent="0.25">
      <c r="B10" s="238"/>
      <c r="C10" s="238"/>
      <c r="D10" s="238"/>
      <c r="E10" s="238"/>
      <c r="F10" s="240"/>
      <c r="J10" s="167"/>
    </row>
    <row r="11" spans="2:10" ht="15" x14ac:dyDescent="0.25">
      <c r="B11" s="238"/>
      <c r="C11" s="238"/>
      <c r="D11" s="238"/>
      <c r="E11" s="238"/>
      <c r="F11" s="239"/>
      <c r="J11" s="211" t="s">
        <v>476</v>
      </c>
    </row>
    <row r="12" spans="2:10" ht="15" x14ac:dyDescent="0.25">
      <c r="B12" s="256" t="s">
        <v>544</v>
      </c>
      <c r="C12" s="126" t="s">
        <v>545</v>
      </c>
      <c r="D12" s="126">
        <v>6102</v>
      </c>
      <c r="E12" s="126"/>
      <c r="F12" s="239" t="s">
        <v>622</v>
      </c>
      <c r="J12" s="211" t="s">
        <v>477</v>
      </c>
    </row>
    <row r="13" spans="2:10" ht="15" x14ac:dyDescent="0.25">
      <c r="B13" s="126" t="s">
        <v>514</v>
      </c>
      <c r="C13" s="126" t="s">
        <v>517</v>
      </c>
      <c r="D13" s="126">
        <v>6058</v>
      </c>
      <c r="E13" s="126"/>
      <c r="F13" s="240">
        <v>0.33333333333333331</v>
      </c>
      <c r="J13" s="211" t="s">
        <v>478</v>
      </c>
    </row>
    <row r="14" spans="2:10" ht="15" x14ac:dyDescent="0.25">
      <c r="B14" s="126" t="s">
        <v>561</v>
      </c>
      <c r="C14" s="126" t="s">
        <v>562</v>
      </c>
      <c r="D14" s="126">
        <v>6101</v>
      </c>
      <c r="E14" s="126"/>
      <c r="F14" s="241" t="s">
        <v>55</v>
      </c>
      <c r="J14" s="211" t="s">
        <v>479</v>
      </c>
    </row>
    <row r="15" spans="2:10" ht="15" x14ac:dyDescent="0.25">
      <c r="B15" s="126" t="s">
        <v>516</v>
      </c>
      <c r="C15" s="126" t="s">
        <v>45</v>
      </c>
      <c r="D15" s="126">
        <v>6163</v>
      </c>
      <c r="E15" s="126"/>
      <c r="F15" s="240">
        <v>0.4375</v>
      </c>
      <c r="J15" s="211" t="s">
        <v>480</v>
      </c>
    </row>
    <row r="16" spans="2:10" ht="15" x14ac:dyDescent="0.25">
      <c r="B16" s="256" t="s">
        <v>542</v>
      </c>
      <c r="C16" s="126" t="s">
        <v>543</v>
      </c>
      <c r="D16" s="126">
        <v>6163</v>
      </c>
      <c r="E16" s="126"/>
      <c r="F16" s="240">
        <v>0.4375</v>
      </c>
      <c r="J16" s="211"/>
    </row>
    <row r="17" spans="2:10" ht="15" x14ac:dyDescent="0.25">
      <c r="B17" s="252" t="s">
        <v>520</v>
      </c>
      <c r="C17" s="126" t="s">
        <v>521</v>
      </c>
      <c r="D17" s="126">
        <v>6155</v>
      </c>
      <c r="E17" s="126"/>
      <c r="F17" s="239" t="s">
        <v>55</v>
      </c>
      <c r="J17" s="211"/>
    </row>
    <row r="18" spans="2:10" ht="15" x14ac:dyDescent="0.25">
      <c r="B18" s="363" t="s">
        <v>825</v>
      </c>
      <c r="C18" s="126" t="s">
        <v>826</v>
      </c>
      <c r="D18" s="126">
        <v>6164</v>
      </c>
      <c r="E18" s="126"/>
      <c r="F18" s="240">
        <v>0.35416666666666669</v>
      </c>
      <c r="J18" s="211"/>
    </row>
    <row r="19" spans="2:10" ht="15" x14ac:dyDescent="0.25">
      <c r="B19" s="126" t="s">
        <v>489</v>
      </c>
      <c r="C19" s="126" t="s">
        <v>826</v>
      </c>
      <c r="D19" s="126">
        <v>6164</v>
      </c>
      <c r="E19" s="126"/>
      <c r="F19" s="240">
        <v>0.35416666666666669</v>
      </c>
      <c r="J19" s="211"/>
    </row>
    <row r="20" spans="2:10" ht="15" x14ac:dyDescent="0.25">
      <c r="B20" s="126" t="s">
        <v>515</v>
      </c>
      <c r="C20" s="126" t="s">
        <v>822</v>
      </c>
      <c r="D20" s="126">
        <v>6021</v>
      </c>
      <c r="E20" s="126"/>
      <c r="F20" s="240">
        <v>0.54166666666666663</v>
      </c>
      <c r="J20" s="85"/>
    </row>
    <row r="21" spans="2:10" ht="15" x14ac:dyDescent="0.25">
      <c r="B21" s="126" t="s">
        <v>566</v>
      </c>
      <c r="C21" s="126" t="s">
        <v>567</v>
      </c>
      <c r="D21" s="126">
        <v>6090</v>
      </c>
      <c r="E21" s="126"/>
      <c r="F21" s="239" t="s">
        <v>55</v>
      </c>
      <c r="J21" s="85"/>
    </row>
    <row r="22" spans="2:10" ht="15" x14ac:dyDescent="0.25">
      <c r="B22" s="126" t="s">
        <v>490</v>
      </c>
      <c r="C22" s="126" t="s">
        <v>501</v>
      </c>
      <c r="D22" s="126">
        <v>6055</v>
      </c>
      <c r="E22" s="126"/>
      <c r="F22" s="239" t="s">
        <v>513</v>
      </c>
    </row>
    <row r="23" spans="2:10" ht="15" x14ac:dyDescent="0.25">
      <c r="B23" s="126" t="s">
        <v>602</v>
      </c>
      <c r="C23" s="126" t="s">
        <v>603</v>
      </c>
      <c r="D23" s="126"/>
      <c r="E23" s="126"/>
      <c r="F23" s="239" t="s">
        <v>55</v>
      </c>
    </row>
    <row r="24" spans="2:10" ht="15" x14ac:dyDescent="0.25">
      <c r="B24" s="126" t="s">
        <v>575</v>
      </c>
      <c r="C24" s="126" t="s">
        <v>576</v>
      </c>
      <c r="D24" s="126">
        <v>6055</v>
      </c>
      <c r="E24" s="126"/>
      <c r="F24" s="239" t="s">
        <v>55</v>
      </c>
    </row>
    <row r="25" spans="2:10" ht="15" x14ac:dyDescent="0.25">
      <c r="B25" s="126" t="s">
        <v>568</v>
      </c>
      <c r="C25" s="126" t="s">
        <v>558</v>
      </c>
      <c r="D25" s="126">
        <v>6058</v>
      </c>
      <c r="E25" s="126" t="s">
        <v>569</v>
      </c>
      <c r="F25" s="239" t="s">
        <v>630</v>
      </c>
    </row>
    <row r="26" spans="2:10" ht="15" x14ac:dyDescent="0.25">
      <c r="B26" s="255" t="s">
        <v>598</v>
      </c>
      <c r="C26" s="126" t="s">
        <v>599</v>
      </c>
      <c r="D26" s="126">
        <v>6155</v>
      </c>
      <c r="E26" s="126"/>
      <c r="F26" s="239" t="s">
        <v>55</v>
      </c>
    </row>
    <row r="27" spans="2:10" ht="15" x14ac:dyDescent="0.25">
      <c r="B27" s="255" t="s">
        <v>594</v>
      </c>
      <c r="C27" s="126" t="s">
        <v>595</v>
      </c>
      <c r="D27" s="126">
        <v>6021</v>
      </c>
      <c r="E27" s="126"/>
      <c r="F27" s="239" t="s">
        <v>55</v>
      </c>
    </row>
    <row r="28" spans="2:10" ht="15" x14ac:dyDescent="0.25">
      <c r="B28" s="129" t="s">
        <v>546</v>
      </c>
      <c r="C28" s="126" t="s">
        <v>547</v>
      </c>
      <c r="D28" s="126">
        <v>6155</v>
      </c>
      <c r="E28" s="126"/>
      <c r="F28" s="239" t="s">
        <v>55</v>
      </c>
    </row>
    <row r="29" spans="2:10" ht="15" x14ac:dyDescent="0.25">
      <c r="B29" s="255" t="s">
        <v>491</v>
      </c>
      <c r="C29" s="126" t="s">
        <v>502</v>
      </c>
      <c r="D29" s="126">
        <v>6090</v>
      </c>
      <c r="E29" s="126"/>
      <c r="F29" s="239" t="s">
        <v>55</v>
      </c>
    </row>
    <row r="30" spans="2:10" ht="15" x14ac:dyDescent="0.25">
      <c r="B30" s="255" t="s">
        <v>493</v>
      </c>
      <c r="C30" s="126" t="s">
        <v>504</v>
      </c>
      <c r="D30" s="126">
        <v>6164</v>
      </c>
      <c r="E30" s="126"/>
      <c r="F30" s="239" t="s">
        <v>519</v>
      </c>
    </row>
    <row r="31" spans="2:10" ht="15" x14ac:dyDescent="0.25">
      <c r="B31" s="255" t="s">
        <v>577</v>
      </c>
      <c r="C31" s="126" t="s">
        <v>578</v>
      </c>
      <c r="D31" s="126">
        <v>6105</v>
      </c>
      <c r="E31" s="126"/>
      <c r="F31" s="239" t="s">
        <v>55</v>
      </c>
    </row>
    <row r="32" spans="2:10" ht="15" x14ac:dyDescent="0.25">
      <c r="B32" s="255" t="s">
        <v>538</v>
      </c>
      <c r="C32" s="126" t="s">
        <v>539</v>
      </c>
      <c r="D32" s="126">
        <v>6058</v>
      </c>
      <c r="E32" s="126"/>
      <c r="F32" s="239" t="s">
        <v>55</v>
      </c>
    </row>
    <row r="33" spans="2:6" ht="15" x14ac:dyDescent="0.25">
      <c r="B33" s="255" t="s">
        <v>563</v>
      </c>
      <c r="C33" s="126" t="s">
        <v>564</v>
      </c>
      <c r="D33" s="126">
        <v>6109</v>
      </c>
      <c r="E33" s="126"/>
      <c r="F33" s="241" t="s">
        <v>565</v>
      </c>
    </row>
    <row r="34" spans="2:6" ht="15" x14ac:dyDescent="0.25">
      <c r="B34" s="126" t="s">
        <v>494</v>
      </c>
      <c r="C34" s="126" t="s">
        <v>505</v>
      </c>
      <c r="D34" s="126">
        <v>6021</v>
      </c>
      <c r="E34" s="126"/>
      <c r="F34" s="257" t="s">
        <v>513</v>
      </c>
    </row>
    <row r="35" spans="2:6" ht="15" x14ac:dyDescent="0.25">
      <c r="B35" s="126" t="s">
        <v>540</v>
      </c>
      <c r="C35" s="126" t="s">
        <v>541</v>
      </c>
      <c r="D35" s="126">
        <v>6163</v>
      </c>
      <c r="E35" s="126"/>
      <c r="F35" s="239" t="s">
        <v>55</v>
      </c>
    </row>
    <row r="36" spans="2:6" ht="15" x14ac:dyDescent="0.25">
      <c r="B36" s="253" t="s">
        <v>522</v>
      </c>
      <c r="C36" s="126" t="s">
        <v>523</v>
      </c>
      <c r="D36" s="126">
        <v>6065</v>
      </c>
      <c r="E36" s="126"/>
      <c r="F36" s="240" t="s">
        <v>600</v>
      </c>
    </row>
    <row r="37" spans="2:6" ht="15" x14ac:dyDescent="0.25">
      <c r="B37" s="126" t="s">
        <v>572</v>
      </c>
      <c r="C37" s="126" t="s">
        <v>610</v>
      </c>
      <c r="D37" s="126">
        <v>6155</v>
      </c>
      <c r="E37" s="126"/>
      <c r="F37" s="239" t="s">
        <v>55</v>
      </c>
    </row>
    <row r="38" spans="2:6" ht="15" x14ac:dyDescent="0.25">
      <c r="B38" s="255" t="s">
        <v>553</v>
      </c>
      <c r="C38" s="126" t="s">
        <v>554</v>
      </c>
      <c r="D38" s="126">
        <v>6155</v>
      </c>
      <c r="E38" s="126"/>
      <c r="F38" s="239" t="s">
        <v>55</v>
      </c>
    </row>
    <row r="39" spans="2:6" ht="15" x14ac:dyDescent="0.25">
      <c r="B39" s="129" t="s">
        <v>548</v>
      </c>
      <c r="C39" s="126" t="s">
        <v>549</v>
      </c>
      <c r="D39" s="126">
        <v>6980</v>
      </c>
      <c r="E39" s="126"/>
      <c r="F39" s="239" t="s">
        <v>55</v>
      </c>
    </row>
    <row r="40" spans="2:6" ht="15" x14ac:dyDescent="0.25">
      <c r="B40" s="255" t="s">
        <v>579</v>
      </c>
      <c r="C40" s="126" t="s">
        <v>820</v>
      </c>
      <c r="D40" s="126">
        <v>6105</v>
      </c>
      <c r="E40" s="126"/>
      <c r="F40" s="239" t="s">
        <v>55</v>
      </c>
    </row>
    <row r="41" spans="2:6" ht="15" x14ac:dyDescent="0.25">
      <c r="B41" s="255" t="s">
        <v>524</v>
      </c>
      <c r="C41" s="126" t="s">
        <v>525</v>
      </c>
      <c r="D41" s="126">
        <v>6164</v>
      </c>
      <c r="E41" s="126"/>
      <c r="F41" s="240">
        <v>0.35416666666666669</v>
      </c>
    </row>
    <row r="42" spans="2:6" ht="15" x14ac:dyDescent="0.25">
      <c r="B42" s="126" t="s">
        <v>555</v>
      </c>
      <c r="C42" s="126" t="s">
        <v>556</v>
      </c>
      <c r="D42" s="126">
        <v>6101</v>
      </c>
      <c r="E42" s="126"/>
      <c r="F42" s="239" t="s">
        <v>55</v>
      </c>
    </row>
    <row r="43" spans="2:6" ht="15" x14ac:dyDescent="0.25">
      <c r="B43" s="254" t="s">
        <v>526</v>
      </c>
      <c r="C43" s="126" t="s">
        <v>527</v>
      </c>
      <c r="D43" s="126">
        <v>6105</v>
      </c>
      <c r="E43" s="126"/>
      <c r="F43" s="239" t="s">
        <v>55</v>
      </c>
    </row>
    <row r="44" spans="2:6" ht="15" x14ac:dyDescent="0.25">
      <c r="B44" s="253" t="s">
        <v>528</v>
      </c>
      <c r="C44" s="126" t="s">
        <v>529</v>
      </c>
      <c r="D44" s="126">
        <v>6105</v>
      </c>
      <c r="E44" s="126"/>
      <c r="F44" s="239" t="s">
        <v>55</v>
      </c>
    </row>
    <row r="45" spans="2:6" ht="15" x14ac:dyDescent="0.25">
      <c r="B45" s="126" t="s">
        <v>587</v>
      </c>
      <c r="C45" s="126" t="s">
        <v>588</v>
      </c>
      <c r="D45" s="126">
        <v>6714</v>
      </c>
      <c r="E45" s="126" t="s">
        <v>589</v>
      </c>
      <c r="F45" s="239" t="s">
        <v>574</v>
      </c>
    </row>
    <row r="46" spans="2:6" ht="15" x14ac:dyDescent="0.25">
      <c r="B46" s="126" t="s">
        <v>585</v>
      </c>
      <c r="C46" s="238" t="s">
        <v>586</v>
      </c>
      <c r="D46" s="126">
        <v>6105</v>
      </c>
      <c r="E46" s="126"/>
      <c r="F46" s="239" t="s">
        <v>55</v>
      </c>
    </row>
    <row r="47" spans="2:6" ht="15" x14ac:dyDescent="0.25">
      <c r="B47" s="254" t="s">
        <v>530</v>
      </c>
      <c r="C47" s="126" t="s">
        <v>525</v>
      </c>
      <c r="D47" s="126">
        <v>6164</v>
      </c>
      <c r="E47" s="126"/>
      <c r="F47" s="240">
        <v>0.3125</v>
      </c>
    </row>
    <row r="48" spans="2:6" ht="15" x14ac:dyDescent="0.25">
      <c r="B48" s="126" t="s">
        <v>496</v>
      </c>
      <c r="C48" s="126" t="s">
        <v>625</v>
      </c>
      <c r="D48" s="126">
        <v>6155</v>
      </c>
      <c r="E48" s="126"/>
      <c r="F48" s="239" t="s">
        <v>55</v>
      </c>
    </row>
    <row r="49" spans="2:6" ht="15" x14ac:dyDescent="0.25">
      <c r="B49" s="126" t="s">
        <v>608</v>
      </c>
      <c r="C49" s="126" t="s">
        <v>609</v>
      </c>
      <c r="D49" s="126">
        <v>6155</v>
      </c>
      <c r="E49" s="126"/>
      <c r="F49" s="239" t="s">
        <v>55</v>
      </c>
    </row>
    <row r="50" spans="2:6" ht="15" x14ac:dyDescent="0.25">
      <c r="B50" s="126" t="s">
        <v>611</v>
      </c>
      <c r="C50" s="126" t="s">
        <v>612</v>
      </c>
      <c r="D50" s="126">
        <v>6105</v>
      </c>
      <c r="E50" s="126"/>
      <c r="F50" s="239" t="s">
        <v>613</v>
      </c>
    </row>
    <row r="51" spans="2:6" ht="15" x14ac:dyDescent="0.25">
      <c r="B51" s="126" t="s">
        <v>497</v>
      </c>
      <c r="C51" s="126" t="s">
        <v>507</v>
      </c>
      <c r="D51" s="126">
        <v>6106</v>
      </c>
      <c r="E51" s="126"/>
      <c r="F51" s="239" t="s">
        <v>55</v>
      </c>
    </row>
    <row r="52" spans="2:6" ht="15" x14ac:dyDescent="0.25">
      <c r="B52" s="254" t="s">
        <v>531</v>
      </c>
      <c r="C52" s="126" t="s">
        <v>532</v>
      </c>
      <c r="D52" s="126">
        <v>6155</v>
      </c>
      <c r="E52" s="126"/>
      <c r="F52" s="239" t="s">
        <v>55</v>
      </c>
    </row>
    <row r="53" spans="2:6" ht="15" x14ac:dyDescent="0.25">
      <c r="B53" s="126" t="s">
        <v>531</v>
      </c>
      <c r="C53" s="126" t="s">
        <v>532</v>
      </c>
      <c r="D53" s="126">
        <v>6155</v>
      </c>
      <c r="E53" s="126"/>
      <c r="F53" s="239" t="s">
        <v>55</v>
      </c>
    </row>
    <row r="54" spans="2:6" ht="13.5" customHeight="1" x14ac:dyDescent="0.25">
      <c r="B54" s="126" t="s">
        <v>596</v>
      </c>
      <c r="C54" s="126" t="s">
        <v>597</v>
      </c>
      <c r="D54" s="126">
        <v>6104</v>
      </c>
      <c r="E54" s="126"/>
      <c r="F54" s="239" t="s">
        <v>55</v>
      </c>
    </row>
    <row r="55" spans="2:6" ht="13.5" customHeight="1" x14ac:dyDescent="0.25">
      <c r="B55" s="126" t="s">
        <v>617</v>
      </c>
      <c r="C55" s="126" t="s">
        <v>618</v>
      </c>
      <c r="D55" s="126">
        <v>6155</v>
      </c>
      <c r="E55" s="126"/>
      <c r="F55" s="239" t="s">
        <v>55</v>
      </c>
    </row>
    <row r="56" spans="2:6" ht="15" x14ac:dyDescent="0.25">
      <c r="B56" s="126" t="s">
        <v>551</v>
      </c>
      <c r="C56" s="126" t="s">
        <v>552</v>
      </c>
      <c r="D56" s="126">
        <v>6104</v>
      </c>
      <c r="E56" s="126"/>
      <c r="F56" s="239" t="s">
        <v>55</v>
      </c>
    </row>
    <row r="57" spans="2:6" ht="15" x14ac:dyDescent="0.25">
      <c r="B57" s="126" t="s">
        <v>570</v>
      </c>
      <c r="C57" s="126" t="s">
        <v>571</v>
      </c>
      <c r="D57" s="126">
        <v>6166</v>
      </c>
      <c r="E57" s="126"/>
      <c r="F57" s="239" t="s">
        <v>55</v>
      </c>
    </row>
    <row r="58" spans="2:6" ht="15" x14ac:dyDescent="0.25">
      <c r="B58" s="126" t="s">
        <v>580</v>
      </c>
      <c r="C58" s="126" t="s">
        <v>558</v>
      </c>
      <c r="D58" s="126">
        <v>6450</v>
      </c>
      <c r="E58" s="126"/>
      <c r="F58" s="239" t="s">
        <v>574</v>
      </c>
    </row>
    <row r="59" spans="2:6" ht="15" x14ac:dyDescent="0.25">
      <c r="B59" s="126" t="s">
        <v>557</v>
      </c>
      <c r="C59" s="126" t="s">
        <v>558</v>
      </c>
      <c r="D59" s="126">
        <v>6058</v>
      </c>
      <c r="E59" s="126"/>
      <c r="F59" s="239" t="s">
        <v>559</v>
      </c>
    </row>
    <row r="60" spans="2:6" ht="15" x14ac:dyDescent="0.25">
      <c r="B60" s="126" t="s">
        <v>583</v>
      </c>
      <c r="C60" s="126" t="s">
        <v>584</v>
      </c>
      <c r="D60" s="126">
        <v>6917</v>
      </c>
      <c r="E60" s="126"/>
      <c r="F60" s="239" t="s">
        <v>601</v>
      </c>
    </row>
    <row r="61" spans="2:6" ht="15" x14ac:dyDescent="0.25">
      <c r="B61" s="126" t="s">
        <v>533</v>
      </c>
      <c r="C61" s="126" t="s">
        <v>584</v>
      </c>
      <c r="D61" s="126">
        <v>6917</v>
      </c>
      <c r="E61" s="126"/>
      <c r="F61" s="239" t="s">
        <v>601</v>
      </c>
    </row>
    <row r="62" spans="2:6" ht="15" x14ac:dyDescent="0.25">
      <c r="B62" s="252" t="s">
        <v>533</v>
      </c>
      <c r="C62" s="126" t="s">
        <v>534</v>
      </c>
      <c r="D62" s="126">
        <v>6917</v>
      </c>
      <c r="E62" s="126"/>
      <c r="F62" s="239" t="s">
        <v>55</v>
      </c>
    </row>
    <row r="63" spans="2:6" ht="15" x14ac:dyDescent="0.25">
      <c r="B63" s="126" t="s">
        <v>604</v>
      </c>
      <c r="C63" s="126" t="s">
        <v>605</v>
      </c>
      <c r="D63" s="126">
        <v>6164</v>
      </c>
      <c r="E63" s="126"/>
      <c r="F63" s="239" t="s">
        <v>55</v>
      </c>
    </row>
    <row r="64" spans="2:6" ht="15.75" thickBot="1" x14ac:dyDescent="0.3">
      <c r="B64" s="242" t="s">
        <v>498</v>
      </c>
      <c r="C64" s="242" t="s">
        <v>508</v>
      </c>
      <c r="D64" s="242">
        <v>6105</v>
      </c>
      <c r="E64" s="242"/>
      <c r="F64" s="239" t="s">
        <v>55</v>
      </c>
    </row>
    <row r="65" spans="2:6" ht="15" x14ac:dyDescent="0.25">
      <c r="B65" s="243" t="s">
        <v>590</v>
      </c>
      <c r="C65" s="243" t="s">
        <v>591</v>
      </c>
      <c r="D65" s="243">
        <v>6105</v>
      </c>
      <c r="E65" s="243"/>
      <c r="F65" s="244" t="s">
        <v>55</v>
      </c>
    </row>
    <row r="66" spans="2:6" ht="15.75" thickBot="1" x14ac:dyDescent="0.3">
      <c r="B66" s="126" t="s">
        <v>499</v>
      </c>
      <c r="C66" s="126" t="s">
        <v>509</v>
      </c>
      <c r="D66" s="126">
        <v>6104</v>
      </c>
      <c r="E66" s="126"/>
      <c r="F66" s="241" t="s">
        <v>518</v>
      </c>
    </row>
    <row r="67" spans="2:6" ht="15" x14ac:dyDescent="0.25">
      <c r="B67" s="126" t="s">
        <v>606</v>
      </c>
      <c r="C67" s="126" t="s">
        <v>607</v>
      </c>
      <c r="D67" s="126">
        <v>6105</v>
      </c>
      <c r="E67" s="126"/>
      <c r="F67" s="244" t="s">
        <v>55</v>
      </c>
    </row>
    <row r="68" spans="2:6" ht="15" x14ac:dyDescent="0.25">
      <c r="B68" s="126" t="s">
        <v>537</v>
      </c>
      <c r="C68" s="126" t="s">
        <v>573</v>
      </c>
      <c r="D68" s="126">
        <v>6105</v>
      </c>
      <c r="E68" s="126"/>
      <c r="F68" s="240" t="s">
        <v>574</v>
      </c>
    </row>
    <row r="69" spans="2:6" ht="15" x14ac:dyDescent="0.25">
      <c r="B69" s="126" t="s">
        <v>535</v>
      </c>
      <c r="C69" s="126" t="s">
        <v>536</v>
      </c>
      <c r="D69" s="126">
        <v>6105</v>
      </c>
      <c r="E69" s="126"/>
      <c r="F69" s="257">
        <v>0.29166666666666669</v>
      </c>
    </row>
    <row r="70" spans="2:6" ht="15" x14ac:dyDescent="0.25">
      <c r="B70" s="126" t="s">
        <v>592</v>
      </c>
      <c r="C70" s="126" t="s">
        <v>593</v>
      </c>
      <c r="D70" s="126">
        <v>6065</v>
      </c>
      <c r="E70" s="126"/>
      <c r="F70" s="241" t="s">
        <v>616</v>
      </c>
    </row>
    <row r="71" spans="2:6" ht="15" x14ac:dyDescent="0.25">
      <c r="B71" s="126" t="s">
        <v>619</v>
      </c>
      <c r="C71" s="126" t="s">
        <v>620</v>
      </c>
      <c r="D71" s="126">
        <v>6057</v>
      </c>
      <c r="E71" s="126"/>
      <c r="F71" s="241" t="s">
        <v>621</v>
      </c>
    </row>
    <row r="72" spans="2:6" ht="15" x14ac:dyDescent="0.25">
      <c r="B72" s="126" t="s">
        <v>623</v>
      </c>
      <c r="C72" s="126" t="s">
        <v>624</v>
      </c>
      <c r="D72" s="126">
        <v>6017</v>
      </c>
      <c r="E72" s="126"/>
      <c r="F72" s="241" t="s">
        <v>55</v>
      </c>
    </row>
    <row r="73" spans="2:6" ht="15" x14ac:dyDescent="0.25">
      <c r="B73" s="155" t="s">
        <v>626</v>
      </c>
      <c r="C73" s="126" t="s">
        <v>627</v>
      </c>
      <c r="D73" s="126">
        <v>6155</v>
      </c>
      <c r="E73" s="126"/>
      <c r="F73" s="241" t="s">
        <v>55</v>
      </c>
    </row>
    <row r="74" spans="2:6" ht="15" x14ac:dyDescent="0.25">
      <c r="B74" s="129" t="s">
        <v>628</v>
      </c>
      <c r="C74" s="126" t="s">
        <v>629</v>
      </c>
      <c r="D74" s="126">
        <v>6105</v>
      </c>
      <c r="E74" s="126"/>
      <c r="F74" s="241" t="s">
        <v>55</v>
      </c>
    </row>
    <row r="75" spans="2:6" ht="15" x14ac:dyDescent="0.25">
      <c r="B75" s="157" t="s">
        <v>631</v>
      </c>
      <c r="C75" s="273" t="s">
        <v>632</v>
      </c>
      <c r="D75" s="126">
        <v>6062</v>
      </c>
      <c r="E75" s="126"/>
      <c r="F75" s="241" t="s">
        <v>55</v>
      </c>
    </row>
    <row r="76" spans="2:6" ht="15" x14ac:dyDescent="0.25">
      <c r="B76" s="126" t="s">
        <v>633</v>
      </c>
      <c r="C76" s="126" t="s">
        <v>634</v>
      </c>
      <c r="D76" s="126"/>
      <c r="E76" s="126"/>
      <c r="F76" s="126" t="s">
        <v>634</v>
      </c>
    </row>
    <row r="77" spans="2:6" ht="15" x14ac:dyDescent="0.25">
      <c r="B77" s="129" t="s">
        <v>635</v>
      </c>
      <c r="C77" s="126" t="s">
        <v>634</v>
      </c>
      <c r="D77" s="126"/>
      <c r="E77" s="126"/>
      <c r="F77" s="126" t="s">
        <v>634</v>
      </c>
    </row>
    <row r="78" spans="2:6" ht="15" x14ac:dyDescent="0.25">
      <c r="B78" s="129" t="s">
        <v>636</v>
      </c>
      <c r="C78" s="126" t="s">
        <v>609</v>
      </c>
      <c r="D78" s="126">
        <v>6155</v>
      </c>
      <c r="E78" s="126"/>
      <c r="F78" s="239" t="s">
        <v>55</v>
      </c>
    </row>
    <row r="79" spans="2:6" ht="15" x14ac:dyDescent="0.25">
      <c r="B79" s="126" t="s">
        <v>637</v>
      </c>
      <c r="C79" s="126" t="s">
        <v>638</v>
      </c>
      <c r="D79" s="126">
        <v>3062</v>
      </c>
      <c r="E79" s="126"/>
      <c r="F79" s="241" t="s">
        <v>639</v>
      </c>
    </row>
    <row r="80" spans="2:6" ht="15" x14ac:dyDescent="0.25">
      <c r="B80" s="126" t="s">
        <v>640</v>
      </c>
      <c r="C80" s="126" t="s">
        <v>641</v>
      </c>
      <c r="D80" s="126">
        <v>27559</v>
      </c>
      <c r="E80" s="126"/>
      <c r="F80" s="241" t="s">
        <v>642</v>
      </c>
    </row>
    <row r="81" spans="2:6" ht="15" x14ac:dyDescent="0.25">
      <c r="B81" s="126" t="s">
        <v>643</v>
      </c>
      <c r="C81" s="126" t="s">
        <v>644</v>
      </c>
      <c r="D81" s="126">
        <v>6090</v>
      </c>
      <c r="E81" s="126"/>
      <c r="F81" s="241" t="s">
        <v>645</v>
      </c>
    </row>
    <row r="82" spans="2:6" ht="15" x14ac:dyDescent="0.25">
      <c r="B82" s="126" t="s">
        <v>646</v>
      </c>
      <c r="C82" s="126" t="s">
        <v>647</v>
      </c>
      <c r="D82" s="126">
        <v>6155</v>
      </c>
      <c r="E82" s="126"/>
      <c r="F82" s="241" t="s">
        <v>55</v>
      </c>
    </row>
    <row r="83" spans="2:6" ht="15" x14ac:dyDescent="0.25">
      <c r="B83" s="156" t="s">
        <v>648</v>
      </c>
      <c r="C83" s="126" t="s">
        <v>634</v>
      </c>
      <c r="D83" s="126"/>
      <c r="E83" s="126"/>
      <c r="F83" s="126" t="s">
        <v>634</v>
      </c>
    </row>
    <row r="84" spans="2:6" ht="15" x14ac:dyDescent="0.25">
      <c r="B84" s="129" t="s">
        <v>649</v>
      </c>
      <c r="C84" s="126" t="s">
        <v>650</v>
      </c>
      <c r="D84" s="126">
        <v>6155</v>
      </c>
      <c r="E84" s="126"/>
      <c r="F84" s="257">
        <v>0.33333333333333331</v>
      </c>
    </row>
    <row r="85" spans="2:6" ht="15" x14ac:dyDescent="0.25">
      <c r="B85" s="126" t="s">
        <v>651</v>
      </c>
      <c r="C85" s="126" t="s">
        <v>652</v>
      </c>
      <c r="D85" s="126">
        <v>6155</v>
      </c>
      <c r="E85" s="126"/>
      <c r="F85" s="241" t="s">
        <v>55</v>
      </c>
    </row>
    <row r="86" spans="2:6" ht="15.75" thickBot="1" x14ac:dyDescent="0.3">
      <c r="B86" s="245" t="s">
        <v>653</v>
      </c>
      <c r="C86" s="245" t="s">
        <v>654</v>
      </c>
      <c r="D86" s="245">
        <v>6106</v>
      </c>
      <c r="E86" s="245"/>
      <c r="F86" s="246" t="s">
        <v>55</v>
      </c>
    </row>
    <row r="87" spans="2:6" ht="15" x14ac:dyDescent="0.25">
      <c r="B87" s="238" t="s">
        <v>751</v>
      </c>
      <c r="C87" s="238" t="s">
        <v>750</v>
      </c>
      <c r="D87" s="238">
        <v>6055</v>
      </c>
      <c r="E87" s="238"/>
      <c r="F87" s="239" t="s">
        <v>55</v>
      </c>
    </row>
    <row r="88" spans="2:6" ht="15" x14ac:dyDescent="0.25">
      <c r="B88" s="126" t="s">
        <v>814</v>
      </c>
      <c r="C88" s="126" t="s">
        <v>815</v>
      </c>
      <c r="D88" s="126">
        <v>6105</v>
      </c>
      <c r="E88" s="126"/>
      <c r="F88" s="241" t="s">
        <v>55</v>
      </c>
    </row>
    <row r="89" spans="2:6" ht="15" x14ac:dyDescent="0.25">
      <c r="B89" s="126" t="s">
        <v>816</v>
      </c>
      <c r="C89" s="126" t="s">
        <v>817</v>
      </c>
      <c r="D89" s="126">
        <v>6058</v>
      </c>
      <c r="E89" s="126"/>
      <c r="F89" s="241" t="s">
        <v>55</v>
      </c>
    </row>
    <row r="90" spans="2:6" ht="15" x14ac:dyDescent="0.25">
      <c r="B90" s="126" t="s">
        <v>818</v>
      </c>
      <c r="C90" s="126" t="s">
        <v>819</v>
      </c>
      <c r="D90" s="126"/>
      <c r="E90" s="126"/>
      <c r="F90" s="241" t="s">
        <v>819</v>
      </c>
    </row>
    <row r="91" spans="2:6" ht="15" x14ac:dyDescent="0.25">
      <c r="B91" s="126" t="s">
        <v>823</v>
      </c>
      <c r="C91" s="126" t="s">
        <v>824</v>
      </c>
      <c r="D91" s="126">
        <v>6055</v>
      </c>
      <c r="E91" s="126"/>
      <c r="F91" s="241" t="s">
        <v>55</v>
      </c>
    </row>
    <row r="92" spans="2:6" ht="15" x14ac:dyDescent="0.25">
      <c r="B92" s="126"/>
      <c r="C92" s="126"/>
      <c r="D92" s="126"/>
      <c r="E92" s="126"/>
      <c r="F92" s="241"/>
    </row>
    <row r="93" spans="2:6" ht="15" x14ac:dyDescent="0.25">
      <c r="B93" s="126"/>
      <c r="C93" s="126"/>
      <c r="D93" s="126"/>
      <c r="E93" s="126"/>
      <c r="F93" s="241"/>
    </row>
    <row r="94" spans="2:6" ht="15" x14ac:dyDescent="0.25">
      <c r="B94" s="247"/>
      <c r="C94" s="126"/>
      <c r="D94" s="126"/>
      <c r="E94" s="126"/>
      <c r="F94" s="241"/>
    </row>
    <row r="95" spans="2:6" ht="15" x14ac:dyDescent="0.25">
      <c r="B95" s="126"/>
      <c r="C95" s="126"/>
      <c r="D95" s="126"/>
      <c r="E95" s="126"/>
      <c r="F95" s="241"/>
    </row>
    <row r="96" spans="2:6" ht="15" x14ac:dyDescent="0.25">
      <c r="B96" s="126"/>
      <c r="C96" s="126"/>
      <c r="D96" s="126"/>
      <c r="E96" s="126"/>
      <c r="F96" s="241"/>
    </row>
    <row r="97" spans="2:6" ht="15" x14ac:dyDescent="0.25">
      <c r="B97" s="126"/>
      <c r="C97" s="126"/>
      <c r="D97" s="126"/>
      <c r="E97" s="126"/>
      <c r="F97" s="241"/>
    </row>
    <row r="98" spans="2:6" ht="15" x14ac:dyDescent="0.25">
      <c r="B98" s="248"/>
      <c r="C98" s="126"/>
      <c r="D98" s="126"/>
      <c r="E98" s="126"/>
      <c r="F98" s="241"/>
    </row>
    <row r="99" spans="2:6" ht="15.75" thickBot="1" x14ac:dyDescent="0.3">
      <c r="B99" s="242"/>
      <c r="C99" s="242"/>
      <c r="D99" s="242"/>
      <c r="E99" s="242"/>
      <c r="F99" s="249"/>
    </row>
    <row r="100" spans="2:6" ht="15" x14ac:dyDescent="0.25">
      <c r="B100" s="243"/>
      <c r="C100" s="243"/>
      <c r="D100" s="243"/>
      <c r="E100" s="243"/>
      <c r="F100" s="244"/>
    </row>
    <row r="101" spans="2:6" ht="15" x14ac:dyDescent="0.25">
      <c r="B101" s="126"/>
      <c r="C101" s="126"/>
      <c r="D101" s="126"/>
      <c r="E101" s="126"/>
      <c r="F101" s="241"/>
    </row>
    <row r="102" spans="2:6" ht="15" x14ac:dyDescent="0.25">
      <c r="B102" s="126"/>
      <c r="C102" s="126"/>
      <c r="D102" s="126"/>
      <c r="E102" s="126"/>
      <c r="F102" s="241"/>
    </row>
    <row r="103" spans="2:6" ht="15" x14ac:dyDescent="0.25">
      <c r="B103" s="126"/>
      <c r="C103" s="126"/>
      <c r="D103" s="126"/>
      <c r="E103" s="126"/>
      <c r="F103" s="241"/>
    </row>
    <row r="104" spans="2:6" ht="15" x14ac:dyDescent="0.25">
      <c r="B104" s="126"/>
      <c r="C104" s="126"/>
      <c r="D104" s="126"/>
      <c r="E104" s="126"/>
      <c r="F104" s="241"/>
    </row>
    <row r="105" spans="2:6" ht="15" x14ac:dyDescent="0.25">
      <c r="B105" s="126"/>
      <c r="C105" s="126"/>
      <c r="D105" s="126"/>
      <c r="E105" s="126"/>
      <c r="F105" s="241"/>
    </row>
    <row r="106" spans="2:6" ht="15" x14ac:dyDescent="0.25">
      <c r="B106" s="126"/>
      <c r="C106" s="126"/>
      <c r="D106" s="126"/>
      <c r="E106" s="126"/>
      <c r="F106" s="126"/>
    </row>
    <row r="107" spans="2:6" ht="15" x14ac:dyDescent="0.25">
      <c r="B107" s="126"/>
      <c r="C107" s="126"/>
      <c r="D107" s="126"/>
      <c r="E107" s="126"/>
      <c r="F107" s="126"/>
    </row>
    <row r="108" spans="2:6" ht="15" x14ac:dyDescent="0.25">
      <c r="B108" s="126"/>
      <c r="C108" s="126"/>
      <c r="D108" s="126"/>
      <c r="E108" s="126"/>
      <c r="F108" s="126"/>
    </row>
    <row r="109" spans="2:6" ht="15" x14ac:dyDescent="0.25">
      <c r="B109" s="126"/>
      <c r="C109" s="126"/>
      <c r="D109" s="126"/>
      <c r="E109" s="126"/>
      <c r="F109" s="126"/>
    </row>
    <row r="110" spans="2:6" ht="15" x14ac:dyDescent="0.25">
      <c r="B110" s="126"/>
      <c r="C110" s="126"/>
      <c r="D110" s="126"/>
      <c r="E110" s="126"/>
      <c r="F110" s="126"/>
    </row>
    <row r="111" spans="2:6" ht="15" x14ac:dyDescent="0.25">
      <c r="B111" s="126"/>
      <c r="C111" s="126"/>
      <c r="D111" s="126"/>
      <c r="E111" s="126"/>
      <c r="F111" s="126"/>
    </row>
    <row r="112" spans="2:6" ht="13.5" customHeight="1" x14ac:dyDescent="0.25">
      <c r="B112" s="126"/>
      <c r="C112" s="126"/>
      <c r="D112" s="126"/>
      <c r="E112" s="126"/>
      <c r="F112" s="126"/>
    </row>
    <row r="113" spans="2:6" ht="13.5" customHeight="1" x14ac:dyDescent="0.25">
      <c r="B113" s="126"/>
      <c r="C113" s="126"/>
      <c r="D113" s="126"/>
      <c r="E113" s="126"/>
      <c r="F113" s="126"/>
    </row>
    <row r="114" spans="2:6" ht="13.5" customHeight="1" x14ac:dyDescent="0.25">
      <c r="B114" s="126"/>
      <c r="C114" s="126"/>
      <c r="D114" s="126"/>
      <c r="E114" s="126"/>
      <c r="F114" s="126"/>
    </row>
    <row r="115" spans="2:6" ht="13.5" customHeight="1" x14ac:dyDescent="0.25">
      <c r="B115" s="126"/>
      <c r="C115" s="126"/>
      <c r="D115" s="126"/>
      <c r="E115" s="126"/>
      <c r="F115" s="126"/>
    </row>
    <row r="116" spans="2:6" ht="15.75" thickBot="1" x14ac:dyDescent="0.3">
      <c r="B116" s="245"/>
      <c r="C116" s="245"/>
      <c r="D116" s="245"/>
      <c r="E116" s="245"/>
      <c r="F116" s="245"/>
    </row>
    <row r="117" spans="2:6" ht="15" x14ac:dyDescent="0.25">
      <c r="B117" s="123"/>
      <c r="C117" s="127"/>
      <c r="D117" s="128"/>
      <c r="E117" s="127"/>
    </row>
    <row r="118" spans="2:6" x14ac:dyDescent="0.2">
      <c r="B118" s="85"/>
      <c r="C118" s="85"/>
      <c r="D118" s="110"/>
      <c r="E118" s="85"/>
    </row>
    <row r="119" spans="2:6" x14ac:dyDescent="0.2">
      <c r="B119" s="117"/>
      <c r="C119" s="85"/>
      <c r="D119" s="110"/>
      <c r="E119" s="85"/>
    </row>
    <row r="120" spans="2:6" x14ac:dyDescent="0.2">
      <c r="B120" s="121"/>
      <c r="C120" s="85"/>
      <c r="D120" s="110"/>
      <c r="E120" s="85"/>
    </row>
    <row r="121" spans="2:6" x14ac:dyDescent="0.2">
      <c r="B121" s="122"/>
      <c r="C121" s="85"/>
      <c r="D121" s="110"/>
      <c r="E121" s="85"/>
    </row>
    <row r="122" spans="2:6" x14ac:dyDescent="0.2">
      <c r="B122" s="121"/>
      <c r="C122" s="85"/>
      <c r="D122" s="110"/>
      <c r="E122" s="85"/>
    </row>
    <row r="123" spans="2:6" x14ac:dyDescent="0.2">
      <c r="B123" s="84"/>
      <c r="C123" s="85"/>
      <c r="D123" s="110"/>
      <c r="E123" s="85"/>
    </row>
    <row r="124" spans="2:6" x14ac:dyDescent="0.2">
      <c r="B124" s="84"/>
      <c r="C124" s="85"/>
      <c r="D124" s="110"/>
      <c r="E124" s="85"/>
    </row>
    <row r="125" spans="2:6" x14ac:dyDescent="0.2">
      <c r="B125" s="118"/>
      <c r="C125" s="85"/>
      <c r="D125" s="110"/>
      <c r="E125" s="85"/>
    </row>
    <row r="126" spans="2:6" x14ac:dyDescent="0.2">
      <c r="B126" s="84"/>
      <c r="C126" s="85"/>
      <c r="D126" s="110"/>
      <c r="E126" s="85"/>
    </row>
    <row r="127" spans="2:6" x14ac:dyDescent="0.2">
      <c r="B127" s="84"/>
      <c r="C127" s="85"/>
      <c r="D127" s="110"/>
      <c r="E127" s="85"/>
    </row>
    <row r="128" spans="2:6" x14ac:dyDescent="0.2">
      <c r="B128" s="85"/>
      <c r="C128" s="85"/>
      <c r="D128" s="110"/>
      <c r="E128" s="85"/>
    </row>
    <row r="129" spans="2:5" x14ac:dyDescent="0.2">
      <c r="B129" s="118"/>
      <c r="C129" s="85"/>
      <c r="D129" s="110"/>
      <c r="E129" s="85"/>
    </row>
    <row r="130" spans="2:5" x14ac:dyDescent="0.2">
      <c r="B130" s="84"/>
      <c r="C130" s="85"/>
      <c r="D130" s="110"/>
      <c r="E130" s="85"/>
    </row>
    <row r="131" spans="2:5" x14ac:dyDescent="0.2">
      <c r="B131" s="85"/>
      <c r="C131" s="85"/>
      <c r="D131" s="110"/>
      <c r="E131" s="85"/>
    </row>
    <row r="132" spans="2:5" x14ac:dyDescent="0.2">
      <c r="B132" s="118"/>
      <c r="C132" s="85"/>
      <c r="D132" s="110"/>
      <c r="E132" s="85"/>
    </row>
    <row r="133" spans="2:5" x14ac:dyDescent="0.2">
      <c r="B133" s="85"/>
      <c r="C133" s="85"/>
      <c r="D133" s="110"/>
      <c r="E133" s="85"/>
    </row>
    <row r="134" spans="2:5" x14ac:dyDescent="0.2">
      <c r="B134" s="107"/>
      <c r="C134" s="85"/>
      <c r="D134" s="110"/>
      <c r="E134" s="85"/>
    </row>
    <row r="135" spans="2:5" x14ac:dyDescent="0.2">
      <c r="B135" s="107"/>
      <c r="C135" s="85"/>
      <c r="D135" s="110"/>
      <c r="E135" s="85"/>
    </row>
    <row r="136" spans="2:5" x14ac:dyDescent="0.2">
      <c r="B136" s="107"/>
      <c r="C136" s="85"/>
      <c r="D136" s="110"/>
      <c r="E136" s="85"/>
    </row>
    <row r="137" spans="2:5" x14ac:dyDescent="0.2">
      <c r="B137" s="118"/>
      <c r="C137" s="85"/>
      <c r="D137" s="110"/>
      <c r="E137" s="85"/>
    </row>
    <row r="138" spans="2:5" x14ac:dyDescent="0.2">
      <c r="B138" s="121"/>
      <c r="C138" s="85"/>
      <c r="D138" s="110"/>
      <c r="E138" s="85"/>
    </row>
    <row r="139" spans="2:5" x14ac:dyDescent="0.2">
      <c r="B139" s="121"/>
      <c r="C139" s="85"/>
      <c r="D139" s="110"/>
      <c r="E139" s="85"/>
    </row>
    <row r="140" spans="2:5" x14ac:dyDescent="0.2">
      <c r="B140" s="85"/>
      <c r="C140" s="85"/>
      <c r="D140" s="110"/>
      <c r="E140" s="85"/>
    </row>
    <row r="141" spans="2:5" x14ac:dyDescent="0.2">
      <c r="B141" s="118"/>
      <c r="C141" s="85"/>
      <c r="D141" s="110"/>
      <c r="E141" s="85"/>
    </row>
    <row r="142" spans="2:5" x14ac:dyDescent="0.2">
      <c r="B142" s="118"/>
      <c r="C142" s="85"/>
      <c r="D142" s="110"/>
      <c r="E142" s="85"/>
    </row>
    <row r="143" spans="2:5" x14ac:dyDescent="0.2">
      <c r="B143" s="84"/>
      <c r="C143" s="85"/>
      <c r="D143" s="110"/>
      <c r="E143" s="85"/>
    </row>
    <row r="144" spans="2:5" x14ac:dyDescent="0.2">
      <c r="B144" s="84"/>
      <c r="C144" s="85"/>
      <c r="D144" s="110"/>
      <c r="E144" s="85"/>
    </row>
    <row r="145" spans="1:5" x14ac:dyDescent="0.2">
      <c r="B145" s="84"/>
      <c r="C145" s="85"/>
      <c r="D145" s="110"/>
      <c r="E145" s="85"/>
    </row>
    <row r="146" spans="1:5" x14ac:dyDescent="0.2">
      <c r="B146" s="84"/>
      <c r="C146" s="85"/>
      <c r="D146" s="110"/>
      <c r="E146" s="85"/>
    </row>
    <row r="147" spans="1:5" x14ac:dyDescent="0.2">
      <c r="B147" s="85"/>
      <c r="C147" s="85"/>
      <c r="D147" s="110"/>
      <c r="E147" s="85"/>
    </row>
    <row r="148" spans="1:5" x14ac:dyDescent="0.2">
      <c r="B148" s="85"/>
      <c r="C148" s="85"/>
      <c r="D148" s="110"/>
      <c r="E148" s="85"/>
    </row>
    <row r="149" spans="1:5" x14ac:dyDescent="0.2">
      <c r="B149" s="107"/>
      <c r="C149" s="85"/>
      <c r="D149" s="110"/>
      <c r="E149" s="85"/>
    </row>
    <row r="150" spans="1:5" x14ac:dyDescent="0.2">
      <c r="B150" s="118"/>
      <c r="C150" s="85"/>
      <c r="D150" s="110"/>
      <c r="E150" s="85"/>
    </row>
    <row r="151" spans="1:5" x14ac:dyDescent="0.2">
      <c r="B151" s="84"/>
      <c r="C151" s="85"/>
      <c r="D151" s="110"/>
      <c r="E151" s="85"/>
    </row>
    <row r="152" spans="1:5" x14ac:dyDescent="0.2">
      <c r="B152" s="84"/>
      <c r="C152" s="85"/>
      <c r="D152" s="110"/>
      <c r="E152" s="85"/>
    </row>
    <row r="153" spans="1:5" x14ac:dyDescent="0.2">
      <c r="B153" s="85"/>
      <c r="C153" s="85"/>
      <c r="D153" s="110"/>
      <c r="E153" s="85"/>
    </row>
    <row r="154" spans="1:5" x14ac:dyDescent="0.2">
      <c r="B154" s="113"/>
      <c r="C154" s="85"/>
      <c r="D154" s="110"/>
      <c r="E154" s="85"/>
    </row>
    <row r="155" spans="1:5" x14ac:dyDescent="0.2">
      <c r="B155" s="107"/>
      <c r="C155" s="85"/>
      <c r="D155" s="110"/>
      <c r="E155" s="85"/>
    </row>
    <row r="156" spans="1:5" x14ac:dyDescent="0.2">
      <c r="A156" s="108"/>
      <c r="B156" s="85"/>
      <c r="C156" s="85"/>
      <c r="D156" s="110"/>
      <c r="E156" s="85"/>
    </row>
    <row r="157" spans="1:5" x14ac:dyDescent="0.2">
      <c r="B157" s="107"/>
      <c r="C157" s="85"/>
      <c r="D157" s="110"/>
      <c r="E157" s="85"/>
    </row>
    <row r="158" spans="1:5" x14ac:dyDescent="0.2">
      <c r="B158" s="121"/>
      <c r="C158" s="85"/>
      <c r="D158" s="110"/>
      <c r="E158" s="85"/>
    </row>
    <row r="159" spans="1:5" x14ac:dyDescent="0.2">
      <c r="B159" s="119"/>
      <c r="C159" s="105"/>
      <c r="D159" s="111"/>
      <c r="E159" s="85"/>
    </row>
    <row r="160" spans="1:5" x14ac:dyDescent="0.2">
      <c r="B160" s="113"/>
      <c r="C160" s="85"/>
      <c r="D160" s="110"/>
      <c r="E160" s="85"/>
    </row>
    <row r="161" spans="2:5" x14ac:dyDescent="0.2">
      <c r="B161" s="118"/>
      <c r="C161" s="85"/>
      <c r="D161" s="110"/>
      <c r="E161" s="85"/>
    </row>
    <row r="162" spans="2:5" x14ac:dyDescent="0.2">
      <c r="B162" s="85"/>
      <c r="C162" s="85"/>
      <c r="D162" s="110"/>
      <c r="E162" s="85"/>
    </row>
    <row r="163" spans="2:5" x14ac:dyDescent="0.2">
      <c r="B163" s="118"/>
      <c r="C163" s="85"/>
      <c r="D163" s="110"/>
      <c r="E163" s="85"/>
    </row>
    <row r="164" spans="2:5" x14ac:dyDescent="0.2">
      <c r="B164" s="84"/>
      <c r="C164" s="85"/>
      <c r="D164" s="110"/>
      <c r="E164" s="85"/>
    </row>
    <row r="165" spans="2:5" x14ac:dyDescent="0.2">
      <c r="B165" s="84"/>
      <c r="C165" s="85"/>
      <c r="D165" s="110"/>
      <c r="E165" s="85"/>
    </row>
    <row r="166" spans="2:5" x14ac:dyDescent="0.2">
      <c r="B166" s="84"/>
      <c r="C166" s="85"/>
      <c r="D166" s="110"/>
      <c r="E166" s="120"/>
    </row>
    <row r="167" spans="2:5" ht="15" thickBot="1" x14ac:dyDescent="0.25">
      <c r="B167" s="117"/>
      <c r="C167" s="87"/>
      <c r="D167" s="112"/>
      <c r="E167" s="120"/>
    </row>
    <row r="168" spans="2:5" ht="15" thickBot="1" x14ac:dyDescent="0.25">
      <c r="B168" s="86"/>
      <c r="C168" s="87"/>
      <c r="D168" s="112"/>
      <c r="E168" s="120"/>
    </row>
    <row r="169" spans="2:5" x14ac:dyDescent="0.2">
      <c r="B169" s="117"/>
    </row>
  </sheetData>
  <autoFilter ref="B3:D168" xr:uid="{00000000-0009-0000-0000-000006000000}"/>
  <sortState xmlns:xlrd2="http://schemas.microsoft.com/office/spreadsheetml/2017/richdata2" ref="B12:F70">
    <sortCondition ref="B12:B70"/>
  </sortState>
  <customSheetViews>
    <customSheetView guid="{6CBF310A-A1BE-46B5-918C-2F2608E5F889}" showGridLines="0" fitToPage="1" showAutoFilter="1" topLeftCell="A79">
      <selection activeCell="E99" sqref="E99"/>
      <pageMargins left="0.7" right="0.7" top="0.75" bottom="0.75" header="0.3" footer="0.3"/>
      <pageSetup paperSize="9" scale="51" fitToHeight="0" orientation="portrait" r:id="rId1"/>
      <autoFilter ref="B3:D129" xr:uid="{00000000-0000-0000-0000-000000000000}"/>
    </customSheetView>
    <customSheetView guid="{932959AD-57BE-4F19-9A63-1790755BC301}" showGridLines="0" fitToPage="1" showAutoFilter="1" topLeftCell="A31">
      <selection activeCell="E41" sqref="E41"/>
      <pageMargins left="0.7" right="0.7" top="0.75" bottom="0.75" header="0.3" footer="0.3"/>
      <pageSetup paperSize="9" scale="51" fitToHeight="0" orientation="portrait" r:id="rId2"/>
      <autoFilter ref="B3:D128" xr:uid="{00000000-0000-0000-0000-000000000000}"/>
    </customSheetView>
    <customSheetView guid="{369A686F-D18F-4ED2-99C4-317DC1AD7F50}" showGridLines="0" fitToPage="1" showAutoFilter="1" topLeftCell="A31">
      <selection activeCell="E64" sqref="E64"/>
      <pageMargins left="0.7" right="0.7" top="0.75" bottom="0.75" header="0.3" footer="0.3"/>
      <pageSetup paperSize="9" scale="51" fitToHeight="0" orientation="portrait" r:id="rId3"/>
      <autoFilter ref="B1:D1" xr:uid="{00000000-0000-0000-0000-000000000000}"/>
    </customSheetView>
    <customSheetView guid="{EF0ABB43-B993-46C7-99BE-573267E24723}" showGridLines="0" fitToPage="1" showAutoFilter="1" topLeftCell="A31">
      <selection activeCell="E41" sqref="E41"/>
      <pageMargins left="0.7" right="0.7" top="0.75" bottom="0.75" header="0.3" footer="0.3"/>
      <pageSetup paperSize="9" scale="51" fitToHeight="0" orientation="portrait" r:id="rId4"/>
      <autoFilter ref="B3:D129" xr:uid="{00000000-0000-0000-0000-000000000000}"/>
    </customSheetView>
  </customSheetViews>
  <mergeCells count="2">
    <mergeCell ref="B2:D2"/>
    <mergeCell ref="E2:F2"/>
  </mergeCells>
  <conditionalFormatting sqref="J4">
    <cfRule type="colorScale" priority="85">
      <colorScale>
        <cfvo type="min"/>
        <cfvo type="max"/>
        <color rgb="FF00B0F0"/>
        <color rgb="FFFFEF9C"/>
      </colorScale>
    </cfRule>
  </conditionalFormatting>
  <conditionalFormatting sqref="B28">
    <cfRule type="cellIs" dxfId="31" priority="25" operator="equal">
      <formula>#N/A</formula>
    </cfRule>
  </conditionalFormatting>
  <conditionalFormatting sqref="B26">
    <cfRule type="cellIs" dxfId="30" priority="24" operator="equal">
      <formula>#N/A</formula>
    </cfRule>
  </conditionalFormatting>
  <conditionalFormatting sqref="B27">
    <cfRule type="cellIs" dxfId="29" priority="23" operator="equal">
      <formula>#N/A</formula>
    </cfRule>
  </conditionalFormatting>
  <conditionalFormatting sqref="B29">
    <cfRule type="cellIs" dxfId="28" priority="22" operator="equal">
      <formula>#N/A</formula>
    </cfRule>
  </conditionalFormatting>
  <conditionalFormatting sqref="B30">
    <cfRule type="cellIs" dxfId="27" priority="21" operator="equal">
      <formula>#N/A</formula>
    </cfRule>
  </conditionalFormatting>
  <conditionalFormatting sqref="B38:B41">
    <cfRule type="cellIs" dxfId="26" priority="20" operator="equal">
      <formula>#N/A</formula>
    </cfRule>
  </conditionalFormatting>
  <conditionalFormatting sqref="B73">
    <cfRule type="cellIs" dxfId="25" priority="19" operator="equal">
      <formula>#N/A</formula>
    </cfRule>
  </conditionalFormatting>
  <conditionalFormatting sqref="B74">
    <cfRule type="cellIs" dxfId="24" priority="18" operator="equal">
      <formula>#N/A</formula>
    </cfRule>
  </conditionalFormatting>
  <conditionalFormatting sqref="B75">
    <cfRule type="cellIs" dxfId="23" priority="17" operator="equal">
      <formula>#N/A</formula>
    </cfRule>
  </conditionalFormatting>
  <conditionalFormatting sqref="B75">
    <cfRule type="cellIs" dxfId="22" priority="16" operator="equal">
      <formula>#N/A</formula>
    </cfRule>
  </conditionalFormatting>
  <conditionalFormatting sqref="B75">
    <cfRule type="cellIs" dxfId="21" priority="15" operator="equal">
      <formula>#N/A</formula>
    </cfRule>
  </conditionalFormatting>
  <conditionalFormatting sqref="B75">
    <cfRule type="cellIs" dxfId="20" priority="14" operator="equal">
      <formula>#N/A</formula>
    </cfRule>
  </conditionalFormatting>
  <conditionalFormatting sqref="B75">
    <cfRule type="cellIs" dxfId="19" priority="13" operator="equal">
      <formula>#N/A</formula>
    </cfRule>
  </conditionalFormatting>
  <conditionalFormatting sqref="B75">
    <cfRule type="cellIs" dxfId="18" priority="12" operator="equal">
      <formula>#N/A</formula>
    </cfRule>
  </conditionalFormatting>
  <conditionalFormatting sqref="B75">
    <cfRule type="cellIs" dxfId="17" priority="11" operator="equal">
      <formula>#N/A</formula>
    </cfRule>
  </conditionalFormatting>
  <conditionalFormatting sqref="B75">
    <cfRule type="cellIs" dxfId="16" priority="10" operator="equal">
      <formula>#N/A</formula>
    </cfRule>
  </conditionalFormatting>
  <conditionalFormatting sqref="B75">
    <cfRule type="cellIs" dxfId="15" priority="9" operator="equal">
      <formula>#N/A</formula>
    </cfRule>
  </conditionalFormatting>
  <conditionalFormatting sqref="B75">
    <cfRule type="cellIs" dxfId="14" priority="8" operator="equal">
      <formula>#N/A</formula>
    </cfRule>
  </conditionalFormatting>
  <conditionalFormatting sqref="B75">
    <cfRule type="cellIs" dxfId="13" priority="7" operator="equal">
      <formula>#N/A</formula>
    </cfRule>
  </conditionalFormatting>
  <conditionalFormatting sqref="B77">
    <cfRule type="cellIs" dxfId="12" priority="6" operator="equal">
      <formula>#N/A</formula>
    </cfRule>
  </conditionalFormatting>
  <conditionalFormatting sqref="B78">
    <cfRule type="cellIs" dxfId="10" priority="4" operator="equal">
      <formula>#N/A</formula>
    </cfRule>
  </conditionalFormatting>
  <conditionalFormatting sqref="B83">
    <cfRule type="cellIs" dxfId="9" priority="3" operator="equal">
      <formula>#N/A</formula>
    </cfRule>
  </conditionalFormatting>
  <conditionalFormatting sqref="B84">
    <cfRule type="cellIs" dxfId="8" priority="2" operator="equal">
      <formula>#N/A</formula>
    </cfRule>
  </conditionalFormatting>
  <conditionalFormatting sqref="B18">
    <cfRule type="cellIs" dxfId="0" priority="1" operator="equal">
      <formula>#N/A</formula>
    </cfRule>
  </conditionalFormatting>
  <pageMargins left="0.7" right="0.7" top="0.75" bottom="0.75" header="0.3" footer="0.3"/>
  <pageSetup paperSize="9" scale="51" fitToHeight="0" orientation="portrait" r:id="rId5"/>
  <drawing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D7135-C984-4C1C-9511-5C96C65512D3}">
  <sheetPr codeName="Sheet10">
    <tabColor rgb="FF00B0F0"/>
    <pageSetUpPr fitToPage="1"/>
  </sheetPr>
  <dimension ref="A1:M26"/>
  <sheetViews>
    <sheetView workbookViewId="0">
      <selection activeCell="F9" sqref="F9"/>
    </sheetView>
  </sheetViews>
  <sheetFormatPr defaultColWidth="21.85546875" defaultRowHeight="27" customHeight="1" x14ac:dyDescent="0.25"/>
  <cols>
    <col min="1" max="1" width="0.140625" customWidth="1"/>
    <col min="2" max="2" width="52.140625" style="204" customWidth="1"/>
    <col min="3" max="3" width="19.28515625" style="204" customWidth="1"/>
    <col min="4" max="4" width="7.5703125" style="204" customWidth="1"/>
    <col min="5" max="5" width="16.5703125" style="204" customWidth="1"/>
    <col min="6" max="6" width="10.140625" style="204" customWidth="1"/>
    <col min="7" max="7" width="14.42578125" style="204" customWidth="1"/>
    <col min="11" max="11" width="12.28515625" customWidth="1"/>
  </cols>
  <sheetData>
    <row r="1" spans="1:13" ht="27" customHeight="1" thickBot="1" x14ac:dyDescent="0.35">
      <c r="B1" s="221"/>
      <c r="C1" s="222"/>
      <c r="D1" s="223"/>
      <c r="E1" s="223"/>
      <c r="F1" s="222"/>
      <c r="G1" s="224"/>
    </row>
    <row r="2" spans="1:13" ht="27" customHeight="1" thickBot="1" x14ac:dyDescent="0.3">
      <c r="B2" s="234" t="s">
        <v>57</v>
      </c>
      <c r="C2" s="336" t="s">
        <v>485</v>
      </c>
      <c r="D2" s="337"/>
      <c r="E2" s="337"/>
      <c r="F2" s="337"/>
      <c r="G2" s="337"/>
      <c r="H2" s="231"/>
    </row>
    <row r="3" spans="1:13" ht="27" customHeight="1" thickBot="1" x14ac:dyDescent="0.3">
      <c r="A3" s="215" t="s">
        <v>481</v>
      </c>
      <c r="B3" s="235" t="s">
        <v>476</v>
      </c>
      <c r="C3" s="338"/>
      <c r="D3" s="339"/>
      <c r="E3" s="339"/>
      <c r="F3" s="339"/>
      <c r="G3" s="339"/>
      <c r="H3" s="232"/>
      <c r="I3" s="212"/>
      <c r="J3" s="212"/>
      <c r="K3" s="212"/>
      <c r="L3" s="212"/>
      <c r="M3" s="212"/>
    </row>
    <row r="4" spans="1:13" ht="27" customHeight="1" thickBot="1" x14ac:dyDescent="0.3">
      <c r="B4" s="236" t="e">
        <f ca="1">INDIRECT(""&amp;B3&amp;"!Q2")</f>
        <v>#VALUE!</v>
      </c>
      <c r="C4" s="340"/>
      <c r="D4" s="341"/>
      <c r="E4" s="341"/>
      <c r="F4" s="341"/>
      <c r="G4" s="341"/>
      <c r="H4" s="233"/>
      <c r="I4" s="212"/>
      <c r="J4" s="212"/>
      <c r="K4" s="212"/>
      <c r="L4" s="212"/>
      <c r="M4" s="212"/>
    </row>
    <row r="5" spans="1:13" ht="35.25" customHeight="1" thickBot="1" x14ac:dyDescent="0.3">
      <c r="A5" s="205"/>
      <c r="B5" s="262" t="s">
        <v>58</v>
      </c>
      <c r="C5" s="271" t="s">
        <v>59</v>
      </c>
      <c r="D5" s="271" t="s">
        <v>60</v>
      </c>
      <c r="E5" s="271" t="s">
        <v>61</v>
      </c>
      <c r="F5" s="271" t="s">
        <v>62</v>
      </c>
      <c r="G5" s="272" t="s">
        <v>63</v>
      </c>
      <c r="H5" s="272" t="s">
        <v>614</v>
      </c>
      <c r="I5" s="212"/>
      <c r="J5" s="212"/>
      <c r="K5" s="212"/>
      <c r="L5" s="212"/>
      <c r="M5" s="212"/>
    </row>
    <row r="6" spans="1:13" ht="17.25" customHeight="1" x14ac:dyDescent="0.25">
      <c r="A6" s="216" t="str">
        <f ca="1">INDIRECT(""&amp;B3&amp;"!B6")</f>
        <v>001-1</v>
      </c>
      <c r="B6" s="263">
        <f ca="1">IFERROR(VLOOKUP(A6,Monday!$B$2:$S$18,7,FALSE),IFERROR(VLOOKUP(A6,Tuesday!$B$2:$S$18,7,FALSE),IFERROR(VLOOKUP(A6,Wednesday!$B$2:$S$18,7,FALSE),IFERROR(VLOOKUP(A6,Thursday!$B$2:$S$18,7,FALSE),VLOOKUP(A6,Friday!$B$2:$S$18,7,FALSE)))))</f>
        <v>0</v>
      </c>
      <c r="C6" s="263">
        <f ca="1">IFERROR(VLOOKUP(A6,Monday!$B$2:$S$18,6,FALSE),IFERROR(VLOOKUP(A6,Tuesday!$B$2:$S$18,6,FALSE),IFERROR(VLOOKUP(A6,Wednesday!$B$2:$S$18,6,FALSE),IFERROR(VLOOKUP(A6,Thursday!$B$2:$S$18,6,FALSE),VLOOKUP(A6,Friday!$B$2:$S$18,6,FALSE)))))</f>
        <v>0</v>
      </c>
      <c r="D6" s="263">
        <f ca="1">IFERROR(VLOOKUP(A6,Monday!$B$2:$S$18,11,FALSE),IFERROR(VLOOKUP(A6,Tuesday!$B$2:$S$18,11,FALSE),IFERROR(VLOOKUP(A6,Wednesday!$B$2:$S$18,11,FALSE),IFERROR(VLOOKUP(A6,Thursday!$B$2:$S$18,11,FALSE),VLOOKUP(A6,Friday!$B$2:$S$18,11,FALSE)))))</f>
        <v>0</v>
      </c>
      <c r="E6" s="263">
        <f ca="1">IFERROR(VLOOKUP(A6,Monday!$B$2:$S$18,3,FALSE),IFERROR(VLOOKUP(A6,Tuesday!$B$2:$S$18,3,FALSE),IFERROR(VLOOKUP(A6,Wednesday!$B$2:$S$18,3,FALSE),IFERROR(VLOOKUP(A6,Thursday!$B$2:$S$18,3,FALSE),VLOOKUP(A6,Friday!$B$2:$S$18,3,FALSE)))))</f>
        <v>0</v>
      </c>
      <c r="F6" s="264">
        <f ca="1">IFERROR(VLOOKUP(A6,Monday!$B$2:$S$18,9,FALSE),IFERROR(VLOOKUP(A6,Tuesday!$B$2:$S$18,9,FALSE),IFERROR(VLOOKUP(A6,Wednesday!$B$2:$S$18,9,FALSE),IFERROR(VLOOKUP(A6,Thursday!$B$2:$S$18,9,FALSE),VLOOKUP(A6,Friday!$B$2:$S$18,9,FALSE)))))</f>
        <v>0</v>
      </c>
      <c r="G6" s="263">
        <f ca="1">IFERROR(VLOOKUP(A6,Monday!$B$2:$S$18,10,FALSE),IFERROR(VLOOKUP(A6,Tuesday!$B$2:$S$18,10,FALSE),IFERROR(VLOOKUP(A6,Wednesday!$B$2:$S$18,10,FALSE),IFERROR(VLOOKUP(A6,Thursday!$B$2:$S$18,10,FALSE),VLOOKUP(A6,Friday!$B$2:$S$18,10,FALSE)))))</f>
        <v>0</v>
      </c>
      <c r="H6" s="263">
        <f ca="1">IFERROR(VLOOKUP(A6,Monday!$B$2:$S$60,5,FALSE),IFERROR(VLOOKUP(A6,Tuesday!$B$2:$S$60,5,FALSE),IFERROR(VLOOKUP(A6,Wednesday!$B$2:$S$60,5,FALSE),IFERROR(VLOOKUP(A6,Thursday!$B$2:$S$60,5,FALSE),VLOOKUP(A6,Friday!$B$2:$S$60,5,FALSE)))))</f>
        <v>0</v>
      </c>
      <c r="I6" s="212"/>
      <c r="J6" s="212"/>
      <c r="K6" s="212"/>
      <c r="L6" s="212"/>
      <c r="M6" s="212"/>
    </row>
    <row r="7" spans="1:13" ht="17.25" customHeight="1" x14ac:dyDescent="0.25">
      <c r="A7" s="217" t="str">
        <f ca="1">INDIRECT(""&amp;B3&amp;"!B7")</f>
        <v>001-2</v>
      </c>
      <c r="B7" s="263">
        <f ca="1">IFERROR(VLOOKUP(A7,Monday!$B$2:$S$18,7,FALSE),IFERROR(VLOOKUP(A7,Tuesday!$B$2:$S$18,7,FALSE),IFERROR(VLOOKUP(A7,Wednesday!$B$2:$S$18,7,FALSE),IFERROR(VLOOKUP(A7,Thursday!$B$2:$S$18,7,FALSE),VLOOKUP(A7,Friday!$B$2:$S$18,7,FALSE)))))</f>
        <v>0</v>
      </c>
      <c r="C7" s="263">
        <f ca="1">IFERROR(VLOOKUP(A7,Monday!$B$2:$S$18,6,FALSE),IFERROR(VLOOKUP(A7,Tuesday!$B$2:$S$18,6,FALSE),IFERROR(VLOOKUP(A7,Wednesday!$B$2:$S$18,6,FALSE),IFERROR(VLOOKUP(A7,Thursday!$B$2:$S$18,6,FALSE),VLOOKUP(A7,Friday!$B$2:$S$18,6,FALSE)))))</f>
        <v>0</v>
      </c>
      <c r="D7" s="263">
        <f ca="1">IFERROR(VLOOKUP(A7,Monday!$B$2:$S$18,11,FALSE),IFERROR(VLOOKUP(A7,Tuesday!$B$2:$S$18,11,FALSE),IFERROR(VLOOKUP(A7,Wednesday!$B$2:$S$18,11,FALSE),IFERROR(VLOOKUP(A7,Thursday!$B$2:$S$18,11,FALSE),VLOOKUP(A7,Friday!$B$2:$S$18,11,FALSE)))))</f>
        <v>0</v>
      </c>
      <c r="E7" s="263">
        <f ca="1">IFERROR(VLOOKUP(A7,Monday!$B$2:$S$18,3,FALSE),IFERROR(VLOOKUP(A7,Tuesday!$B$2:$S$18,3,FALSE),IFERROR(VLOOKUP(A7,Wednesday!$B$2:$S$18,3,FALSE),IFERROR(VLOOKUP(A7,Thursday!$B$2:$S$18,3,FALSE),VLOOKUP(A7,Friday!$B$2:$S$18,3,FALSE)))))</f>
        <v>0</v>
      </c>
      <c r="F7" s="264">
        <f ca="1">IFERROR(VLOOKUP(A7,Monday!$B$2:$S$18,9,FALSE),IFERROR(VLOOKUP(A7,Tuesday!$B$2:$S$18,9,FALSE),IFERROR(VLOOKUP(A7,Wednesday!$B$2:$S$18,9,FALSE),IFERROR(VLOOKUP(A7,Thursday!$B$2:$S$18,9,FALSE),VLOOKUP(A7,Friday!$B$2:$S$18,9,FALSE)))))</f>
        <v>0</v>
      </c>
      <c r="G7" s="263">
        <f ca="1">IFERROR(VLOOKUP(A7,Monday!$B$2:$S$18,10,FALSE),IFERROR(VLOOKUP(A7,Tuesday!$B$2:$S$18,10,FALSE),IFERROR(VLOOKUP(A7,Wednesday!$B$2:$S$18,10,FALSE),IFERROR(VLOOKUP(A7,Thursday!$B$2:$S$18,10,FALSE),VLOOKUP(A7,Friday!$B$2:$S$18,10,FALSE)))))</f>
        <v>0</v>
      </c>
      <c r="H7" s="263">
        <f ca="1">IFERROR(VLOOKUP(A7,Monday!$B$2:$S$60,5,FALSE),IFERROR(VLOOKUP(A7,Tuesday!$B$2:$S$60,5,FALSE),IFERROR(VLOOKUP(A7,Wednesday!$B$2:$S$60,5,FALSE),IFERROR(VLOOKUP(A7,Thursday!$B$2:$S$60,5,FALSE),VLOOKUP(A7,Friday!$B$2:$S$60,5,FALSE)))))</f>
        <v>0</v>
      </c>
      <c r="I7" s="212"/>
      <c r="J7" s="212"/>
      <c r="K7" s="212"/>
      <c r="L7" s="212"/>
      <c r="M7" s="212"/>
    </row>
    <row r="8" spans="1:13" ht="17.25" customHeight="1" x14ac:dyDescent="0.25">
      <c r="A8" s="217" t="str">
        <f ca="1">INDIRECT(""&amp;B3&amp;"!B8")</f>
        <v>001-3</v>
      </c>
      <c r="B8" s="263">
        <f ca="1">IFERROR(VLOOKUP(A8,Monday!$B$2:$S$18,7,FALSE),IFERROR(VLOOKUP(A8,Tuesday!$B$2:$S$18,7,FALSE),IFERROR(VLOOKUP(A8,Wednesday!$B$2:$S$18,7,FALSE),IFERROR(VLOOKUP(A8,Thursday!$B$2:$S$18,7,FALSE),VLOOKUP(A8,Friday!$B$2:$S$18,7,FALSE)))))</f>
        <v>0</v>
      </c>
      <c r="C8" s="263">
        <f ca="1">IFERROR(VLOOKUP(A8,Monday!$B$2:$S$18,6,FALSE),IFERROR(VLOOKUP(A8,Tuesday!$B$2:$S$18,6,FALSE),IFERROR(VLOOKUP(A8,Wednesday!$B$2:$S$18,6,FALSE),IFERROR(VLOOKUP(A8,Thursday!$B$2:$S$18,6,FALSE),VLOOKUP(A8,Friday!$B$2:$S$18,6,FALSE)))))</f>
        <v>0</v>
      </c>
      <c r="D8" s="263">
        <f ca="1">IFERROR(VLOOKUP(A8,Monday!$B$2:$S$18,11,FALSE),IFERROR(VLOOKUP(A8,Tuesday!$B$2:$S$18,11,FALSE),IFERROR(VLOOKUP(A8,Wednesday!$B$2:$S$18,11,FALSE),IFERROR(VLOOKUP(A8,Thursday!$B$2:$S$18,11,FALSE),VLOOKUP(A8,Friday!$B$2:$S$18,11,FALSE)))))</f>
        <v>0</v>
      </c>
      <c r="E8" s="263">
        <f ca="1">IFERROR(VLOOKUP(A8,Monday!$B$2:$S$18,3,FALSE),IFERROR(VLOOKUP(A8,Tuesday!$B$2:$S$18,3,FALSE),IFERROR(VLOOKUP(A8,Wednesday!$B$2:$S$18,3,FALSE),IFERROR(VLOOKUP(A8,Thursday!$B$2:$S$18,3,FALSE),VLOOKUP(A8,Friday!$B$2:$S$18,3,FALSE)))))</f>
        <v>0</v>
      </c>
      <c r="F8" s="263">
        <f ca="1">IFERROR(VLOOKUP(A8,Monday!$B$2:$S$18,9,FALSE),IFERROR(VLOOKUP(A8,Tuesday!$B$2:$S$18,9,FALSE),IFERROR(VLOOKUP(A8,Wednesday!$B$2:$S$18,9,FALSE),IFERROR(VLOOKUP(A8,Thursday!$B$2:$S$18,9,FALSE),VLOOKUP(A8,Friday!$B$2:$S$18,9,FALSE)))))</f>
        <v>0</v>
      </c>
      <c r="G8" s="263">
        <f ca="1">IFERROR(VLOOKUP(A8,Monday!$B$2:$S$18,10,FALSE),IFERROR(VLOOKUP(A8,Tuesday!$B$2:$S$18,10,FALSE),IFERROR(VLOOKUP(A8,Wednesday!$B$2:$S$18,10,FALSE),IFERROR(VLOOKUP(A8,Thursday!$B$2:$S$18,10,FALSE),VLOOKUP(A8,Friday!$B$2:$S$18,10,FALSE)))))</f>
        <v>0</v>
      </c>
      <c r="H8" s="263">
        <f ca="1">IFERROR(VLOOKUP(A8,Monday!$B$2:$S$60,5,FALSE),IFERROR(VLOOKUP(A8,Tuesday!$B$2:$S$60,5,FALSE),IFERROR(VLOOKUP(A8,Wednesday!$B$2:$S$60,5,FALSE),IFERROR(VLOOKUP(A8,Thursday!$B$2:$S$60,5,FALSE),VLOOKUP(A8,Friday!$B$2:$S$60,5,FALSE)))))</f>
        <v>0</v>
      </c>
      <c r="I8" s="212"/>
      <c r="J8" s="212"/>
      <c r="K8" s="212"/>
      <c r="L8" s="212"/>
      <c r="M8" s="212"/>
    </row>
    <row r="9" spans="1:13" ht="17.25" customHeight="1" x14ac:dyDescent="0.25">
      <c r="A9" s="217" t="str">
        <f ca="1">INDIRECT(""&amp;B3&amp;"!B9")</f>
        <v>001-4</v>
      </c>
      <c r="B9" s="263">
        <f ca="1">IFERROR(VLOOKUP(A9,Monday!$B$2:$S$18,7,FALSE),IFERROR(VLOOKUP(A9,Tuesday!$B$2:$S$18,7,FALSE),IFERROR(VLOOKUP(A9,Wednesday!$B$2:$S$18,7,FALSE),IFERROR(VLOOKUP(A9,Thursday!$B$2:$S$18,7,FALSE),VLOOKUP(A9,Friday!$B$2:$S$18,7,FALSE)))))</f>
        <v>0</v>
      </c>
      <c r="C9" s="263">
        <f ca="1">IFERROR(VLOOKUP(A9,Monday!$B$2:$S$18,6,FALSE),IFERROR(VLOOKUP(A9,Tuesday!$B$2:$S$18,6,FALSE),IFERROR(VLOOKUP(A9,Wednesday!$B$2:$S$18,6,FALSE),IFERROR(VLOOKUP(A9,Thursday!$B$2:$S$18,6,FALSE),VLOOKUP(A9,Friday!$B$2:$S$18,6,FALSE)))))</f>
        <v>0</v>
      </c>
      <c r="D9" s="263">
        <f ca="1">IFERROR(VLOOKUP(A9,Monday!$B$2:$S$18,11,FALSE),IFERROR(VLOOKUP(A9,Tuesday!$B$2:$S$18,11,FALSE),IFERROR(VLOOKUP(A9,Wednesday!$B$2:$S$18,11,FALSE),IFERROR(VLOOKUP(A9,Thursday!$B$2:$S$18,11,FALSE),VLOOKUP(A9,Friday!$B$2:$S$18,11,FALSE)))))</f>
        <v>0</v>
      </c>
      <c r="E9" s="263">
        <f ca="1">IFERROR(VLOOKUP(A9,Monday!$B$2:$S$18,3,FALSE),IFERROR(VLOOKUP(A9,Tuesday!$B$2:$S$18,3,FALSE),IFERROR(VLOOKUP(A9,Wednesday!$B$2:$S$18,3,FALSE),IFERROR(VLOOKUP(A9,Thursday!$B$2:$S$18,3,FALSE),VLOOKUP(A9,Friday!$B$2:$S$18,3,FALSE)))))</f>
        <v>0</v>
      </c>
      <c r="F9" s="264">
        <f ca="1">IFERROR(VLOOKUP(A9,Monday!$B$2:$S$18,9,FALSE),IFERROR(VLOOKUP(A9,Tuesday!$B$2:$S$18,9,FALSE),IFERROR(VLOOKUP(A9,Wednesday!$B$2:$S$18,9,FALSE),IFERROR(VLOOKUP(A9,Thursday!$B$2:$S$18,9,FALSE),VLOOKUP(A9,Friday!$B$2:$S$18,9,FALSE)))))</f>
        <v>0</v>
      </c>
      <c r="G9" s="263">
        <f ca="1">IFERROR(VLOOKUP(A9,Monday!$B$2:$S$18,10,FALSE),IFERROR(VLOOKUP(A9,Tuesday!$B$2:$S$18,10,FALSE),IFERROR(VLOOKUP(A9,Wednesday!$B$2:$S$18,10,FALSE),IFERROR(VLOOKUP(A9,Thursday!$B$2:$S$18,10,FALSE),VLOOKUP(A9,Friday!$B$2:$S$18,10,FALSE)))))</f>
        <v>0</v>
      </c>
      <c r="H9" s="263">
        <f ca="1">IFERROR(VLOOKUP(A9,Monday!$B$2:$S$60,5,FALSE),IFERROR(VLOOKUP(A9,Tuesday!$B$2:$S$60,5,FALSE),IFERROR(VLOOKUP(A9,Wednesday!$B$2:$S$60,5,FALSE),IFERROR(VLOOKUP(A9,Thursday!$B$2:$S$60,5,FALSE),VLOOKUP(A9,Friday!$B$2:$S$60,5,FALSE)))))</f>
        <v>0</v>
      </c>
      <c r="I9" s="212"/>
      <c r="J9" s="212"/>
      <c r="K9" s="212"/>
      <c r="L9" s="212"/>
      <c r="M9" s="212"/>
    </row>
    <row r="10" spans="1:13" ht="17.25" customHeight="1" x14ac:dyDescent="0.25">
      <c r="A10" s="217" t="str">
        <f ca="1">INDIRECT(""&amp;B3&amp;"!B10")</f>
        <v>001-5</v>
      </c>
      <c r="B10" s="263">
        <f ca="1">IFERROR(VLOOKUP(A10,Monday!$B$2:$S$18,7,FALSE),IFERROR(VLOOKUP(A10,Tuesday!$B$2:$S$18,7,FALSE),IFERROR(VLOOKUP(A10,Wednesday!$B$2:$S$18,7,FALSE),IFERROR(VLOOKUP(A10,Thursday!$B$2:$S$18,7,FALSE),VLOOKUP(A10,Friday!$B$2:$S$18,7,FALSE)))))</f>
        <v>0</v>
      </c>
      <c r="C10" s="263">
        <f ca="1">IFERROR(VLOOKUP(A10,Monday!$B$2:$S$18,6,FALSE),IFERROR(VLOOKUP(A10,Tuesday!$B$2:$S$18,6,FALSE),IFERROR(VLOOKUP(A10,Wednesday!$B$2:$S$18,6,FALSE),IFERROR(VLOOKUP(A10,Thursday!$B$2:$S$18,6,FALSE),VLOOKUP(A10,Friday!$B$2:$S$18,6,FALSE)))))</f>
        <v>0</v>
      </c>
      <c r="D10" s="263">
        <f ca="1">IFERROR(VLOOKUP(A10,Monday!$B$2:$S$18,11,FALSE),IFERROR(VLOOKUP(A10,Tuesday!$B$2:$S$18,11,FALSE),IFERROR(VLOOKUP(A10,Wednesday!$B$2:$S$18,11,FALSE),IFERROR(VLOOKUP(A10,Thursday!$B$2:$S$18,11,FALSE),VLOOKUP(A10,Friday!$B$2:$S$18,11,FALSE)))))</f>
        <v>0</v>
      </c>
      <c r="E10" s="263">
        <f ca="1">IFERROR(VLOOKUP(A10,Monday!$B$2:$S$18,3,FALSE),IFERROR(VLOOKUP(A10,Tuesday!$B$2:$S$18,3,FALSE),IFERROR(VLOOKUP(A10,Wednesday!$B$2:$S$18,3,FALSE),IFERROR(VLOOKUP(A10,Thursday!$B$2:$S$18,3,FALSE),VLOOKUP(A10,Friday!$B$2:$S$18,3,FALSE)))))</f>
        <v>0</v>
      </c>
      <c r="F10" s="264">
        <f ca="1">IFERROR(VLOOKUP(A10,Monday!$B$2:$S$18,9,FALSE),IFERROR(VLOOKUP(A10,Tuesday!$B$2:$S$18,9,FALSE),IFERROR(VLOOKUP(A10,Wednesday!$B$2:$S$18,9,FALSE),IFERROR(VLOOKUP(A10,Thursday!$B$2:$S$18,9,FALSE),VLOOKUP(A10,Friday!$B$2:$S$18,9,FALSE)))))</f>
        <v>0</v>
      </c>
      <c r="G10" s="263">
        <f ca="1">IFERROR(VLOOKUP(A10,Monday!$B$2:$S$18,10,FALSE),IFERROR(VLOOKUP(A10,Tuesday!$B$2:$S$18,10,FALSE),IFERROR(VLOOKUP(A10,Wednesday!$B$2:$S$18,10,FALSE),IFERROR(VLOOKUP(A10,Thursday!$B$2:$S$18,10,FALSE),VLOOKUP(A10,Friday!$B$2:$S$18,10,FALSE)))))</f>
        <v>0</v>
      </c>
      <c r="H10" s="263">
        <f ca="1">IFERROR(VLOOKUP(A10,Monday!$B$2:$S$60,5,FALSE),IFERROR(VLOOKUP(A10,Tuesday!$B$2:$S$60,5,FALSE),IFERROR(VLOOKUP(A10,Wednesday!$B$2:$S$60,5,FALSE),IFERROR(VLOOKUP(A10,Thursday!$B$2:$S$60,5,FALSE),VLOOKUP(A10,Friday!$B$2:$S$60,5,FALSE)))))</f>
        <v>0</v>
      </c>
      <c r="I10" s="212"/>
      <c r="J10" s="212"/>
      <c r="K10" s="212"/>
      <c r="L10" s="212"/>
      <c r="M10" s="212"/>
    </row>
    <row r="11" spans="1:13" ht="17.25" customHeight="1" x14ac:dyDescent="0.25">
      <c r="A11" s="217" t="str">
        <f ca="1">INDIRECT(""&amp;B3&amp;"!B11")</f>
        <v>001-6</v>
      </c>
      <c r="B11" s="263">
        <f ca="1">IFERROR(VLOOKUP(A11,Monday!$B$2:$S$18,7,FALSE),IFERROR(VLOOKUP(A11,Tuesday!$B$2:$S$18,7,FALSE),IFERROR(VLOOKUP(A11,Wednesday!$B$2:$S$18,7,FALSE),IFERROR(VLOOKUP(A11,Thursday!$B$2:$S$18,7,FALSE),VLOOKUP(A11,Friday!$B$2:$S$18,7,FALSE)))))</f>
        <v>0</v>
      </c>
      <c r="C11" s="263">
        <f ca="1">IFERROR(VLOOKUP(A11,Monday!$B$2:$S$18,6,FALSE),IFERROR(VLOOKUP(A11,Tuesday!$B$2:$S$18,6,FALSE),IFERROR(VLOOKUP(A11,Wednesday!$B$2:$S$18,6,FALSE),IFERROR(VLOOKUP(A11,Thursday!$B$2:$S$18,6,FALSE),VLOOKUP(A11,Friday!$B$2:$S$18,6,FALSE)))))</f>
        <v>0</v>
      </c>
      <c r="D11" s="263">
        <f ca="1">IFERROR(VLOOKUP(A11,Monday!$B$2:$S$18,11,FALSE),IFERROR(VLOOKUP(A11,Tuesday!$B$2:$S$18,11,FALSE),IFERROR(VLOOKUP(A11,Wednesday!$B$2:$S$18,11,FALSE),IFERROR(VLOOKUP(A11,Thursday!$B$2:$S$18,11,FALSE),VLOOKUP(A11,Friday!$B$2:$S$18,11,FALSE)))))</f>
        <v>0</v>
      </c>
      <c r="E11" s="263">
        <f ca="1">IFERROR(VLOOKUP(A11,Monday!$B$2:$S$18,3,FALSE),IFERROR(VLOOKUP(A11,Tuesday!$B$2:$S$18,3,FALSE),IFERROR(VLOOKUP(A11,Wednesday!$B$2:$S$18,3,FALSE),IFERROR(VLOOKUP(A11,Thursday!$B$2:$S$18,3,FALSE),VLOOKUP(A11,Friday!$B$2:$S$18,3,FALSE)))))</f>
        <v>0</v>
      </c>
      <c r="F11" s="264">
        <f ca="1">IFERROR(VLOOKUP(A11,Monday!$B$2:$S$18,9,FALSE),IFERROR(VLOOKUP(A11,Tuesday!$B$2:$S$18,9,FALSE),IFERROR(VLOOKUP(A11,Wednesday!$B$2:$S$18,9,FALSE),IFERROR(VLOOKUP(A11,Thursday!$B$2:$S$18,9,FALSE),VLOOKUP(A11,Friday!$B$2:$S$18,9,FALSE)))))</f>
        <v>0</v>
      </c>
      <c r="G11" s="263">
        <f ca="1">IFERROR(VLOOKUP(A11,Monday!$B$2:$S$18,10,FALSE),IFERROR(VLOOKUP(A11,Tuesday!$B$2:$S$18,10,FALSE),IFERROR(VLOOKUP(A11,Wednesday!$B$2:$S$18,10,FALSE),IFERROR(VLOOKUP(A11,Thursday!$B$2:$S$18,10,FALSE),VLOOKUP(A11,Friday!$B$2:$S$18,10,FALSE)))))</f>
        <v>0</v>
      </c>
      <c r="H11" s="263">
        <f ca="1">IFERROR(VLOOKUP(A11,Monday!$B$2:$S$60,5,FALSE),IFERROR(VLOOKUP(A11,Tuesday!$B$2:$S$60,5,FALSE),IFERROR(VLOOKUP(A11,Wednesday!$B$2:$S$60,5,FALSE),IFERROR(VLOOKUP(A11,Thursday!$B$2:$S$60,5,FALSE),VLOOKUP(A11,Friday!$B$2:$S$60,5,FALSE)))))</f>
        <v>0</v>
      </c>
      <c r="I11" s="212"/>
      <c r="J11" s="212"/>
      <c r="K11" s="212"/>
      <c r="L11" s="212"/>
      <c r="M11" s="212"/>
    </row>
    <row r="12" spans="1:13" ht="17.25" customHeight="1" x14ac:dyDescent="0.25">
      <c r="A12" s="217" t="str">
        <f ca="1">INDIRECT(""&amp;B3&amp;"!B12")</f>
        <v>001-7</v>
      </c>
      <c r="B12" s="263">
        <f ca="1">IFERROR(VLOOKUP(A12,Monday!$B$2:$S$18,7,FALSE),IFERROR(VLOOKUP(A12,Tuesday!$B$2:$S$18,7,FALSE),IFERROR(VLOOKUP(A12,Wednesday!$B$2:$S$18,7,FALSE),IFERROR(VLOOKUP(A12,Thursday!$B$2:$S$18,7,FALSE),VLOOKUP(A12,Friday!$B$2:$S$18,7,FALSE)))))</f>
        <v>0</v>
      </c>
      <c r="C12" s="263">
        <f ca="1">IFERROR(VLOOKUP(A12,Monday!$B$2:$S$18,6,FALSE),IFERROR(VLOOKUP(A12,Tuesday!$B$2:$S$18,6,FALSE),IFERROR(VLOOKUP(A12,Wednesday!$B$2:$S$18,6,FALSE),IFERROR(VLOOKUP(A12,Thursday!$B$2:$S$18,6,FALSE),VLOOKUP(A12,Friday!$B$2:$S$18,6,FALSE)))))</f>
        <v>0</v>
      </c>
      <c r="D12" s="263">
        <f ca="1">IFERROR(VLOOKUP(A12,Monday!$B$2:$S$18,11,FALSE),IFERROR(VLOOKUP(A12,Tuesday!$B$2:$S$18,11,FALSE),IFERROR(VLOOKUP(A12,Wednesday!$B$2:$S$18,11,FALSE),IFERROR(VLOOKUP(A12,Thursday!$B$2:$S$18,11,FALSE),VLOOKUP(A12,Friday!$B$2:$S$18,11,FALSE)))))</f>
        <v>0</v>
      </c>
      <c r="E12" s="263">
        <f ca="1">IFERROR(VLOOKUP(A12,Monday!$B$2:$S$18,3,FALSE),IFERROR(VLOOKUP(A12,Tuesday!$B$2:$S$18,3,FALSE),IFERROR(VLOOKUP(A12,Wednesday!$B$2:$S$18,3,FALSE),IFERROR(VLOOKUP(A12,Thursday!$B$2:$S$18,3,FALSE),VLOOKUP(A12,Friday!$B$2:$S$18,3,FALSE)))))</f>
        <v>0</v>
      </c>
      <c r="F12" s="264">
        <f ca="1">IFERROR(VLOOKUP(A12,Monday!$B$2:$S$18,9,FALSE),IFERROR(VLOOKUP(A12,Tuesday!$B$2:$S$18,9,FALSE),IFERROR(VLOOKUP(A12,Wednesday!$B$2:$S$18,9,FALSE),IFERROR(VLOOKUP(A12,Thursday!$B$2:$S$18,9,FALSE),VLOOKUP(A12,Friday!$B$2:$S$18,9,FALSE)))))</f>
        <v>0</v>
      </c>
      <c r="G12" s="263">
        <f ca="1">IFERROR(VLOOKUP(A12,Monday!$B$2:$S$18,10,FALSE),IFERROR(VLOOKUP(A12,Tuesday!$B$2:$S$18,10,FALSE),IFERROR(VLOOKUP(A12,Wednesday!$B$2:$S$18,10,FALSE),IFERROR(VLOOKUP(A12,Thursday!$B$2:$S$18,10,FALSE),VLOOKUP(A12,Friday!$B$2:$S$18,10,FALSE)))))</f>
        <v>0</v>
      </c>
      <c r="H12" s="263">
        <f ca="1">IFERROR(VLOOKUP(A12,Monday!$B$2:$S$60,5,FALSE),IFERROR(VLOOKUP(A12,Tuesday!$B$2:$S$60,5,FALSE),IFERROR(VLOOKUP(A12,Wednesday!$B$2:$S$60,5,FALSE),IFERROR(VLOOKUP(A12,Thursday!$B$2:$S$60,5,FALSE),VLOOKUP(A12,Friday!$B$2:$S$60,5,FALSE)))))</f>
        <v>0</v>
      </c>
      <c r="I12" s="212"/>
      <c r="J12" s="212"/>
      <c r="K12" s="212"/>
      <c r="L12" s="212"/>
      <c r="M12" s="212"/>
    </row>
    <row r="13" spans="1:13" ht="17.25" customHeight="1" x14ac:dyDescent="0.25">
      <c r="A13" s="217" t="str">
        <f ca="1">INDIRECT(""&amp;B3&amp;"!B13")</f>
        <v>001-8</v>
      </c>
      <c r="B13" s="263">
        <f ca="1">IFERROR(VLOOKUP(A13,Monday!$B$2:$S$18,7,FALSE),IFERROR(VLOOKUP(A13,Tuesday!$B$2:$S$18,7,FALSE),IFERROR(VLOOKUP(A13,Wednesday!$B$2:$S$18,7,FALSE),IFERROR(VLOOKUP(A13,Thursday!$B$2:$S$18,7,FALSE),VLOOKUP(A13,Friday!$B$2:$S$18,7,FALSE)))))</f>
        <v>0</v>
      </c>
      <c r="C13" s="263">
        <f ca="1">IFERROR(VLOOKUP(A13,Monday!$B$2:$S$18,6,FALSE),IFERROR(VLOOKUP(A13,Tuesday!$B$2:$S$18,6,FALSE),IFERROR(VLOOKUP(A13,Wednesday!$B$2:$S$18,6,FALSE),IFERROR(VLOOKUP(A13,Thursday!$B$2:$S$18,6,FALSE),VLOOKUP(A13,Friday!$B$2:$S$18,6,FALSE)))))</f>
        <v>0</v>
      </c>
      <c r="D13" s="263">
        <f ca="1">IFERROR(VLOOKUP(A13,Monday!$B$2:$S$18,11,FALSE),IFERROR(VLOOKUP(A13,Tuesday!$B$2:$S$18,11,FALSE),IFERROR(VLOOKUP(A13,Wednesday!$B$2:$S$18,11,FALSE),IFERROR(VLOOKUP(A13,Thursday!$B$2:$S$18,11,FALSE),VLOOKUP(A13,Friday!$B$2:$S$18,11,FALSE)))))</f>
        <v>0</v>
      </c>
      <c r="E13" s="263">
        <f ca="1">IFERROR(VLOOKUP(A13,Monday!$B$2:$S$18,3,FALSE),IFERROR(VLOOKUP(A13,Tuesday!$B$2:$S$18,3,FALSE),IFERROR(VLOOKUP(A13,Wednesday!$B$2:$S$18,3,FALSE),IFERROR(VLOOKUP(A13,Thursday!$B$2:$S$18,3,FALSE),VLOOKUP(A13,Friday!$B$2:$S$18,3,FALSE)))))</f>
        <v>0</v>
      </c>
      <c r="F13" s="264">
        <f ca="1">IFERROR(VLOOKUP(A13,Monday!$B$2:$S$18,9,FALSE),IFERROR(VLOOKUP(A13,Tuesday!$B$2:$S$18,9,FALSE),IFERROR(VLOOKUP(A13,Wednesday!$B$2:$S$18,9,FALSE),IFERROR(VLOOKUP(A13,Thursday!$B$2:$S$18,9,FALSE),VLOOKUP(A13,Friday!$B$2:$S$18,9,FALSE)))))</f>
        <v>0</v>
      </c>
      <c r="G13" s="263">
        <f ca="1">IFERROR(VLOOKUP(A13,Monday!$B$2:$S$18,10,FALSE),IFERROR(VLOOKUP(A13,Tuesday!$B$2:$S$18,10,FALSE),IFERROR(VLOOKUP(A13,Wednesday!$B$2:$S$18,10,FALSE),IFERROR(VLOOKUP(A13,Thursday!$B$2:$S$18,10,FALSE),VLOOKUP(A13,Friday!$B$2:$S$18,10,FALSE)))))</f>
        <v>0</v>
      </c>
      <c r="H13" s="263">
        <f ca="1">IFERROR(VLOOKUP(A13,Monday!$B$2:$S$60,5,FALSE),IFERROR(VLOOKUP(A13,Tuesday!$B$2:$S$60,5,FALSE),IFERROR(VLOOKUP(A13,Wednesday!$B$2:$S$60,5,FALSE),IFERROR(VLOOKUP(A13,Thursday!$B$2:$S$60,5,FALSE),VLOOKUP(A13,Friday!$B$2:$S$60,5,FALSE)))))</f>
        <v>0</v>
      </c>
      <c r="I13" s="212"/>
      <c r="J13" s="212"/>
      <c r="K13" s="212"/>
      <c r="L13" s="212"/>
      <c r="M13" s="212"/>
    </row>
    <row r="14" spans="1:13" ht="17.25" customHeight="1" x14ac:dyDescent="0.25">
      <c r="A14" s="217" t="str">
        <f ca="1">INDIRECT(""&amp;B3&amp;"!B14")</f>
        <v>001-9</v>
      </c>
      <c r="B14" s="263">
        <f ca="1">IFERROR(VLOOKUP(A14,Monday!$B$2:$S$18,7,FALSE),IFERROR(VLOOKUP(A14,Tuesday!$B$2:$S$18,7,FALSE),IFERROR(VLOOKUP(A14,Wednesday!$B$2:$S$18,7,FALSE),IFERROR(VLOOKUP(A14,Thursday!$B$2:$S$18,7,FALSE),VLOOKUP(A14,Friday!$B$2:$S$18,7,FALSE)))))</f>
        <v>0</v>
      </c>
      <c r="C14" s="263">
        <f ca="1">IFERROR(VLOOKUP(A14,Monday!$B$2:$S$18,6,FALSE),IFERROR(VLOOKUP(A14,Tuesday!$B$2:$S$18,6,FALSE),IFERROR(VLOOKUP(A14,Wednesday!$B$2:$S$18,6,FALSE),IFERROR(VLOOKUP(A14,Thursday!$B$2:$S$18,6,FALSE),VLOOKUP(A14,Friday!$B$2:$S$18,6,FALSE)))))</f>
        <v>0</v>
      </c>
      <c r="D14" s="263">
        <f ca="1">IFERROR(VLOOKUP(A14,Monday!$B$2:$S$18,11,FALSE),IFERROR(VLOOKUP(A14,Tuesday!$B$2:$S$18,11,FALSE),IFERROR(VLOOKUP(A14,Wednesday!$B$2:$S$18,11,FALSE),IFERROR(VLOOKUP(A14,Thursday!$B$2:$S$18,11,FALSE),VLOOKUP(A14,Friday!$B$2:$S$18,11,FALSE)))))</f>
        <v>0</v>
      </c>
      <c r="E14" s="263">
        <f ca="1">IFERROR(VLOOKUP(A14,Monday!$B$2:$S$18,3,FALSE),IFERROR(VLOOKUP(A14,Tuesday!$B$2:$S$18,3,FALSE),IFERROR(VLOOKUP(A14,Wednesday!$B$2:$S$18,3,FALSE),IFERROR(VLOOKUP(A14,Thursday!$B$2:$S$18,3,FALSE),VLOOKUP(A14,Friday!$B$2:$S$18,3,FALSE)))))</f>
        <v>0</v>
      </c>
      <c r="F14" s="264">
        <f ca="1">IFERROR(VLOOKUP(A14,Monday!$B$2:$S$18,9,FALSE),IFERROR(VLOOKUP(A14,Tuesday!$B$2:$S$18,9,FALSE),IFERROR(VLOOKUP(A14,Wednesday!$B$2:$S$18,9,FALSE),IFERROR(VLOOKUP(A14,Thursday!$B$2:$S$18,9,FALSE),VLOOKUP(A14,Friday!$B$2:$S$18,9,FALSE)))))</f>
        <v>0</v>
      </c>
      <c r="G14" s="263">
        <f ca="1">IFERROR(VLOOKUP(A14,Monday!$B$2:$S$18,10,FALSE),IFERROR(VLOOKUP(A14,Tuesday!$B$2:$S$18,10,FALSE),IFERROR(VLOOKUP(A14,Wednesday!$B$2:$S$18,10,FALSE),IFERROR(VLOOKUP(A14,Thursday!$B$2:$S$18,10,FALSE),VLOOKUP(A14,Friday!$B$2:$S$18,10,FALSE)))))</f>
        <v>0</v>
      </c>
      <c r="H14" s="263">
        <f ca="1">IFERROR(VLOOKUP(A14,Monday!$B$2:$S$60,5,FALSE),IFERROR(VLOOKUP(A14,Tuesday!$B$2:$S$60,5,FALSE),IFERROR(VLOOKUP(A14,Wednesday!$B$2:$S$60,5,FALSE),IFERROR(VLOOKUP(A14,Thursday!$B$2:$S$60,5,FALSE),VLOOKUP(A14,Friday!$B$2:$S$60,5,FALSE)))))</f>
        <v>0</v>
      </c>
      <c r="I14" s="212"/>
      <c r="J14" s="212"/>
      <c r="K14" s="212"/>
      <c r="L14" s="212"/>
      <c r="M14" s="212"/>
    </row>
    <row r="15" spans="1:13" ht="17.25" customHeight="1" x14ac:dyDescent="0.25">
      <c r="A15" s="217" t="str">
        <f ca="1">INDIRECT(""&amp;B3&amp;"!B15")</f>
        <v>001-10</v>
      </c>
      <c r="B15" s="263">
        <f ca="1">IFERROR(VLOOKUP(A15,Monday!$B$2:$S$18,7,FALSE),IFERROR(VLOOKUP(A15,Tuesday!$B$2:$S$18,7,FALSE),IFERROR(VLOOKUP(A15,Wednesday!$B$2:$S$18,7,FALSE),IFERROR(VLOOKUP(A15,Thursday!$B$2:$S$18,7,FALSE),VLOOKUP(A15,Friday!$B$2:$S$18,7,FALSE)))))</f>
        <v>0</v>
      </c>
      <c r="C15" s="263">
        <f ca="1">IFERROR(VLOOKUP(A15,Monday!$B$2:$S$18,6,FALSE),IFERROR(VLOOKUP(A15,Tuesday!$B$2:$S$18,6,FALSE),IFERROR(VLOOKUP(A15,Wednesday!$B$2:$S$18,6,FALSE),IFERROR(VLOOKUP(A15,Thursday!$B$2:$S$18,6,FALSE),VLOOKUP(A15,Friday!$B$2:$S$18,6,FALSE)))))</f>
        <v>0</v>
      </c>
      <c r="D15" s="263">
        <f ca="1">IFERROR(VLOOKUP(A15,Monday!$B$2:$S$18,11,FALSE),IFERROR(VLOOKUP(A15,Tuesday!$B$2:$S$18,11,FALSE),IFERROR(VLOOKUP(A15,Wednesday!$B$2:$S$18,11,FALSE),IFERROR(VLOOKUP(A15,Thursday!$B$2:$S$18,11,FALSE),VLOOKUP(A15,Friday!$B$2:$S$18,11,FALSE)))))</f>
        <v>0</v>
      </c>
      <c r="E15" s="263">
        <f ca="1">IFERROR(VLOOKUP(A15,Monday!$B$2:$S$18,3,FALSE),IFERROR(VLOOKUP(A15,Tuesday!$B$2:$S$18,3,FALSE),IFERROR(VLOOKUP(A15,Wednesday!$B$2:$S$18,3,FALSE),IFERROR(VLOOKUP(A15,Thursday!$B$2:$S$18,3,FALSE),VLOOKUP(A15,Friday!$B$2:$S$18,3,FALSE)))))</f>
        <v>0</v>
      </c>
      <c r="F15" s="264">
        <f ca="1">IFERROR(VLOOKUP(A15,Monday!$B$2:$S$18,9,FALSE),IFERROR(VLOOKUP(A15,Tuesday!$B$2:$S$18,9,FALSE),IFERROR(VLOOKUP(A15,Wednesday!$B$2:$S$18,9,FALSE),IFERROR(VLOOKUP(A15,Thursday!$B$2:$S$18,9,FALSE),VLOOKUP(A15,Friday!$B$2:$S$18,9,FALSE)))))</f>
        <v>0</v>
      </c>
      <c r="G15" s="263">
        <f ca="1">IFERROR(VLOOKUP(A15,Monday!$B$2:$S$18,10,FALSE),IFERROR(VLOOKUP(A15,Tuesday!$B$2:$S$18,10,FALSE),IFERROR(VLOOKUP(A15,Wednesday!$B$2:$S$18,10,FALSE),IFERROR(VLOOKUP(A15,Thursday!$B$2:$S$18,10,FALSE),VLOOKUP(A15,Friday!$B$2:$S$18,10,FALSE)))))</f>
        <v>0</v>
      </c>
      <c r="H15" s="263">
        <f ca="1">IFERROR(VLOOKUP(A15,Monday!$B$2:$S$60,5,FALSE),IFERROR(VLOOKUP(A15,Tuesday!$B$2:$S$60,5,FALSE),IFERROR(VLOOKUP(A15,Wednesday!$B$2:$S$60,5,FALSE),IFERROR(VLOOKUP(A15,Thursday!$B$2:$S$60,5,FALSE),VLOOKUP(A15,Friday!$B$2:$S$60,5,FALSE)))))</f>
        <v>0</v>
      </c>
      <c r="I15" s="212"/>
      <c r="J15" s="212"/>
      <c r="K15" s="212"/>
      <c r="L15" s="212"/>
      <c r="M15" s="212"/>
    </row>
    <row r="16" spans="1:13" ht="17.25" customHeight="1" x14ac:dyDescent="0.25">
      <c r="A16" s="217" t="str">
        <f ca="1">INDIRECT(""&amp;B3&amp;"!B16")</f>
        <v>001-11</v>
      </c>
      <c r="B16" s="263">
        <f ca="1">IFERROR(VLOOKUP(A16,Monday!$B$2:$S$18,7,FALSE),IFERROR(VLOOKUP(A16,Tuesday!$B$2:$S$18,7,FALSE),IFERROR(VLOOKUP(A16,Wednesday!$B$2:$S$18,7,FALSE),IFERROR(VLOOKUP(A16,Thursday!$B$2:$S$18,7,FALSE),VLOOKUP(A16,Friday!$B$2:$S$18,7,FALSE)))))</f>
        <v>0</v>
      </c>
      <c r="C16" s="263">
        <f ca="1">IFERROR(VLOOKUP(A16,Monday!$B$2:$S$18,6,FALSE),IFERROR(VLOOKUP(A16,Tuesday!$B$2:$S$18,6,FALSE),IFERROR(VLOOKUP(A16,Wednesday!$B$2:$S$18,6,FALSE),IFERROR(VLOOKUP(A16,Thursday!$B$2:$S$18,6,FALSE),VLOOKUP(A16,Friday!$B$2:$S$18,6,FALSE)))))</f>
        <v>0</v>
      </c>
      <c r="D16" s="263">
        <f ca="1">IFERROR(VLOOKUP(A16,Monday!$B$2:$S$18,11,FALSE),IFERROR(VLOOKUP(A16,Tuesday!$B$2:$S$18,11,FALSE),IFERROR(VLOOKUP(A16,Wednesday!$B$2:$S$18,11,FALSE),IFERROR(VLOOKUP(A16,Thursday!$B$2:$S$18,11,FALSE),VLOOKUP(A16,Friday!$B$2:$S$18,11,FALSE)))))</f>
        <v>0</v>
      </c>
      <c r="E16" s="263">
        <f ca="1">IFERROR(VLOOKUP(A16,Monday!$B$2:$S$18,3,FALSE),IFERROR(VLOOKUP(A16,Tuesday!$B$2:$S$18,3,FALSE),IFERROR(VLOOKUP(A16,Wednesday!$B$2:$S$18,3,FALSE),IFERROR(VLOOKUP(A16,Thursday!$B$2:$S$18,3,FALSE),VLOOKUP(A16,Friday!$B$2:$S$18,3,FALSE)))))</f>
        <v>0</v>
      </c>
      <c r="F16" s="264">
        <f ca="1">IFERROR(VLOOKUP(A16,Monday!$B$2:$S$18,9,FALSE),IFERROR(VLOOKUP(A16,Tuesday!$B$2:$S$18,9,FALSE),IFERROR(VLOOKUP(A16,Wednesday!$B$2:$S$18,9,FALSE),IFERROR(VLOOKUP(A16,Thursday!$B$2:$S$18,9,FALSE),VLOOKUP(A16,Friday!$B$2:$S$18,9,FALSE)))))</f>
        <v>0</v>
      </c>
      <c r="G16" s="263">
        <f ca="1">IFERROR(VLOOKUP(A16,Monday!$B$2:$S$18,10,FALSE),IFERROR(VLOOKUP(A16,Tuesday!$B$2:$S$18,10,FALSE),IFERROR(VLOOKUP(A16,Wednesday!$B$2:$S$18,10,FALSE),IFERROR(VLOOKUP(A16,Thursday!$B$2:$S$18,10,FALSE),VLOOKUP(A16,Friday!$B$2:$S$18,10,FALSE)))))</f>
        <v>0</v>
      </c>
      <c r="H16" s="263">
        <f ca="1">IFERROR(VLOOKUP(A16,Monday!$B$2:$S$60,5,FALSE),IFERROR(VLOOKUP(A16,Tuesday!$B$2:$S$60,5,FALSE),IFERROR(VLOOKUP(A16,Wednesday!$B$2:$S$60,5,FALSE),IFERROR(VLOOKUP(A16,Thursday!$B$2:$S$60,5,FALSE),VLOOKUP(A16,Friday!$B$2:$S$60,5,FALSE)))))</f>
        <v>0</v>
      </c>
      <c r="I16" s="212"/>
      <c r="J16" s="212"/>
      <c r="K16" s="212"/>
      <c r="L16" s="212"/>
      <c r="M16" s="212"/>
    </row>
    <row r="17" spans="1:13" ht="17.25" customHeight="1" x14ac:dyDescent="0.25">
      <c r="A17" s="217" t="str">
        <f ca="1">INDIRECT(""&amp;B3&amp;"!B17")</f>
        <v>001-12</v>
      </c>
      <c r="B17" s="263">
        <f ca="1">IFERROR(VLOOKUP(A17,Monday!$B$2:$S$18,7,FALSE),IFERROR(VLOOKUP(A17,Tuesday!$B$2:$S$18,7,FALSE),IFERROR(VLOOKUP(A17,Wednesday!$B$2:$S$18,7,FALSE),IFERROR(VLOOKUP(A17,Thursday!$B$2:$S$18,7,FALSE),VLOOKUP(A17,Friday!$B$2:$S$18,7,FALSE)))))</f>
        <v>0</v>
      </c>
      <c r="C17" s="263">
        <f ca="1">IFERROR(VLOOKUP(A17,Monday!$B$2:$S$18,6,FALSE),IFERROR(VLOOKUP(A17,Tuesday!$B$2:$S$18,6,FALSE),IFERROR(VLOOKUP(A17,Wednesday!$B$2:$S$18,6,FALSE),IFERROR(VLOOKUP(A17,Thursday!$B$2:$S$18,6,FALSE),VLOOKUP(A17,Friday!$B$2:$S$18,6,FALSE)))))</f>
        <v>0</v>
      </c>
      <c r="D17" s="263">
        <f ca="1">IFERROR(VLOOKUP(A17,Monday!$B$2:$S$18,11,FALSE),IFERROR(VLOOKUP(A17,Tuesday!$B$2:$S$18,11,FALSE),IFERROR(VLOOKUP(A17,Wednesday!$B$2:$S$18,11,FALSE),IFERROR(VLOOKUP(A17,Thursday!$B$2:$S$18,11,FALSE),VLOOKUP(A17,Friday!$B$2:$S$18,11,FALSE)))))</f>
        <v>0</v>
      </c>
      <c r="E17" s="263">
        <f ca="1">IFERROR(VLOOKUP(A17,Monday!$B$2:$S$18,3,FALSE),IFERROR(VLOOKUP(A17,Tuesday!$B$2:$S$18,3,FALSE),IFERROR(VLOOKUP(A17,Wednesday!$B$2:$S$18,3,FALSE),IFERROR(VLOOKUP(A17,Thursday!$B$2:$S$18,3,FALSE),VLOOKUP(A17,Friday!$B$2:$S$18,3,FALSE)))))</f>
        <v>0</v>
      </c>
      <c r="F17" s="264">
        <f ca="1">IFERROR(VLOOKUP(A17,Monday!$B$2:$S$18,9,FALSE),IFERROR(VLOOKUP(A17,Tuesday!$B$2:$S$18,9,FALSE),IFERROR(VLOOKUP(A17,Wednesday!$B$2:$S$18,9,FALSE),IFERROR(VLOOKUP(A17,Thursday!$B$2:$S$18,9,FALSE),VLOOKUP(A17,Friday!$B$2:$S$18,9,FALSE)))))</f>
        <v>0</v>
      </c>
      <c r="G17" s="263">
        <f ca="1">IFERROR(VLOOKUP(A17,Monday!$B$2:$S$18,10,FALSE),IFERROR(VLOOKUP(A17,Tuesday!$B$2:$S$18,10,FALSE),IFERROR(VLOOKUP(A17,Wednesday!$B$2:$S$18,10,FALSE),IFERROR(VLOOKUP(A17,Thursday!$B$2:$S$18,10,FALSE),VLOOKUP(A17,Friday!$B$2:$S$18,10,FALSE)))))</f>
        <v>0</v>
      </c>
      <c r="H17" s="263">
        <f ca="1">IFERROR(VLOOKUP(A17,Monday!$B$2:$S$60,5,FALSE),IFERROR(VLOOKUP(A17,Tuesday!$B$2:$S$60,5,FALSE),IFERROR(VLOOKUP(A17,Wednesday!$B$2:$S$60,5,FALSE),IFERROR(VLOOKUP(A17,Thursday!$B$2:$S$60,5,FALSE),VLOOKUP(A17,Friday!$B$2:$S$60,5,FALSE)))))</f>
        <v>0</v>
      </c>
      <c r="I17" s="212"/>
      <c r="J17" s="212"/>
      <c r="K17" s="212"/>
      <c r="L17" s="212"/>
      <c r="M17" s="212"/>
    </row>
    <row r="18" spans="1:13" ht="17.25" customHeight="1" x14ac:dyDescent="0.25">
      <c r="A18" s="217" t="str">
        <f ca="1">INDIRECT(""&amp;B3&amp;"!B18")</f>
        <v>001-13</v>
      </c>
      <c r="B18" s="263">
        <f ca="1">IFERROR(VLOOKUP(A18,Monday!$B$2:$S$18,7,FALSE),IFERROR(VLOOKUP(A18,Tuesday!$B$2:$S$18,7,FALSE),IFERROR(VLOOKUP(A18,Wednesday!$B$2:$S$18,7,FALSE),IFERROR(VLOOKUP(A18,Thursday!$B$2:$S$18,7,FALSE),VLOOKUP(A18,Friday!$B$2:$S$18,7,FALSE)))))</f>
        <v>0</v>
      </c>
      <c r="C18" s="263">
        <f ca="1">IFERROR(VLOOKUP(A18,Monday!$B$2:$S$18,6,FALSE),IFERROR(VLOOKUP(A18,Tuesday!$B$2:$S$18,6,FALSE),IFERROR(VLOOKUP(A18,Wednesday!$B$2:$S$18,6,FALSE),IFERROR(VLOOKUP(A18,Thursday!$B$2:$S$18,6,FALSE),VLOOKUP(A18,Friday!$B$2:$S$18,6,FALSE)))))</f>
        <v>0</v>
      </c>
      <c r="D18" s="263">
        <f ca="1">IFERROR(VLOOKUP(A18,Monday!$B$2:$S$18,11,FALSE),IFERROR(VLOOKUP(A18,Tuesday!$B$2:$S$18,11,FALSE),IFERROR(VLOOKUP(A18,Wednesday!$B$2:$S$18,11,FALSE),IFERROR(VLOOKUP(A18,Thursday!$B$2:$S$18,11,FALSE),VLOOKUP(A18,Friday!$B$2:$S$18,11,FALSE)))))</f>
        <v>0</v>
      </c>
      <c r="E18" s="263">
        <f ca="1">IFERROR(VLOOKUP(A18,Monday!$B$2:$S$18,3,FALSE),IFERROR(VLOOKUP(A18,Tuesday!$B$2:$S$18,3,FALSE),IFERROR(VLOOKUP(A18,Wednesday!$B$2:$S$18,3,FALSE),IFERROR(VLOOKUP(A18,Thursday!$B$2:$S$18,3,FALSE),VLOOKUP(A18,Friday!$B$2:$S$18,3,FALSE)))))</f>
        <v>0</v>
      </c>
      <c r="F18" s="264">
        <f ca="1">IFERROR(VLOOKUP(A18,Monday!$B$2:$S$18,9,FALSE),IFERROR(VLOOKUP(A18,Tuesday!$B$2:$S$18,9,FALSE),IFERROR(VLOOKUP(A18,Wednesday!$B$2:$S$18,9,FALSE),IFERROR(VLOOKUP(A18,Thursday!$B$2:$S$18,9,FALSE),VLOOKUP(A18,Friday!$B$2:$S$18,9,FALSE)))))</f>
        <v>0</v>
      </c>
      <c r="G18" s="263">
        <f ca="1">IFERROR(VLOOKUP(A18,Monday!$B$2:$S$18,10,FALSE),IFERROR(VLOOKUP(A18,Tuesday!$B$2:$S$18,10,FALSE),IFERROR(VLOOKUP(A18,Wednesday!$B$2:$S$18,10,FALSE),IFERROR(VLOOKUP(A18,Thursday!$B$2:$S$18,10,FALSE),VLOOKUP(A18,Friday!$B$2:$S$18,10,FALSE)))))</f>
        <v>0</v>
      </c>
      <c r="H18" s="263">
        <f ca="1">IFERROR(VLOOKUP(A18,Monday!$B$2:$S$60,5,FALSE),IFERROR(VLOOKUP(A18,Tuesday!$B$2:$S$60,5,FALSE),IFERROR(VLOOKUP(A18,Wednesday!$B$2:$S$60,5,FALSE),IFERROR(VLOOKUP(A18,Thursday!$B$2:$S$60,5,FALSE),VLOOKUP(A18,Friday!$B$2:$S$60,5,FALSE)))))</f>
        <v>0</v>
      </c>
      <c r="I18" s="212"/>
      <c r="J18" s="212"/>
      <c r="K18" s="212"/>
      <c r="L18" s="212"/>
      <c r="M18" s="212"/>
    </row>
    <row r="19" spans="1:13" ht="17.25" customHeight="1" x14ac:dyDescent="0.25">
      <c r="A19" s="217">
        <f ca="1">INDIRECT(""&amp;B3&amp;"!B19")</f>
        <v>0</v>
      </c>
      <c r="B19" s="263" t="e">
        <f ca="1">IFERROR(VLOOKUP(A19,Monday!$B$2:$S$18,7,FALSE),IFERROR(VLOOKUP(A19,Tuesday!$B$2:$S$18,7,FALSE),IFERROR(VLOOKUP(A19,Wednesday!$B$2:$S$18,7,FALSE),IFERROR(VLOOKUP(A19,Thursday!$B$2:$S$18,7,FALSE),VLOOKUP(A19,Friday!$B$2:$S$18,7,FALSE)))))</f>
        <v>#N/A</v>
      </c>
      <c r="C19" s="263" t="e">
        <f ca="1">IFERROR(VLOOKUP(A19,Monday!$B$2:$S$18,6,FALSE),IFERROR(VLOOKUP(A19,Tuesday!$B$2:$S$18,6,FALSE),IFERROR(VLOOKUP(A19,Wednesday!$B$2:$S$18,6,FALSE),IFERROR(VLOOKUP(A19,Thursday!$B$2:$S$18,6,FALSE),VLOOKUP(A19,Friday!$B$2:$S$18,6,FALSE)))))</f>
        <v>#N/A</v>
      </c>
      <c r="D19" s="263" t="e">
        <f ca="1">IFERROR(VLOOKUP(A19,Monday!$B$2:$S$18,11,FALSE),IFERROR(VLOOKUP(A19,Tuesday!$B$2:$S$18,11,FALSE),IFERROR(VLOOKUP(A19,Wednesday!$B$2:$S$18,11,FALSE),IFERROR(VLOOKUP(A19,Thursday!$B$2:$S$18,11,FALSE),VLOOKUP(A19,Friday!$B$2:$S$18,11,FALSE)))))</f>
        <v>#N/A</v>
      </c>
      <c r="E19" s="263" t="e">
        <f ca="1">IFERROR(VLOOKUP(A19,Monday!$B$2:$S$18,3,FALSE),IFERROR(VLOOKUP(A19,Tuesday!$B$2:$S$18,3,FALSE),IFERROR(VLOOKUP(A19,Wednesday!$B$2:$S$18,3,FALSE),IFERROR(VLOOKUP(A19,Thursday!$B$2:$S$18,3,FALSE),VLOOKUP(A19,Friday!$B$2:$S$18,3,FALSE)))))</f>
        <v>#N/A</v>
      </c>
      <c r="F19" s="264" t="e">
        <f ca="1">IFERROR(VLOOKUP(A19,Monday!$B$2:$S$18,9,FALSE),IFERROR(VLOOKUP(A19,Tuesday!$B$2:$S$18,9,FALSE),IFERROR(VLOOKUP(A19,Wednesday!$B$2:$S$18,9,FALSE),IFERROR(VLOOKUP(A19,Thursday!$B$2:$S$18,9,FALSE),VLOOKUP(A19,Friday!$B$2:$S$18,9,FALSE)))))</f>
        <v>#N/A</v>
      </c>
      <c r="G19" s="263" t="e">
        <f ca="1">IFERROR(VLOOKUP(A19,Monday!$B$2:$S$18,10,FALSE),IFERROR(VLOOKUP(A19,Tuesday!$B$2:$S$18,10,FALSE),IFERROR(VLOOKUP(A19,Wednesday!$B$2:$S$18,10,FALSE),IFERROR(VLOOKUP(A19,Thursday!$B$2:$S$18,10,FALSE),VLOOKUP(A19,Friday!$B$2:$S$18,10,FALSE)))))</f>
        <v>#N/A</v>
      </c>
      <c r="H19" s="263" t="e">
        <f ca="1">IFERROR(VLOOKUP(A19,Monday!$B$2:$S$60,5,FALSE),IFERROR(VLOOKUP(A19,Tuesday!$B$2:$S$60,5,FALSE),IFERROR(VLOOKUP(A19,Wednesday!$B$2:$S$60,5,FALSE),IFERROR(VLOOKUP(A19,Thursday!$B$2:$S$60,5,FALSE),VLOOKUP(A19,Friday!$B$2:$S$60,5,FALSE)))))</f>
        <v>#N/A</v>
      </c>
      <c r="I19" s="212"/>
      <c r="J19" s="212"/>
      <c r="K19" s="212"/>
      <c r="L19" s="212"/>
      <c r="M19" s="212"/>
    </row>
    <row r="20" spans="1:13" ht="17.25" customHeight="1" x14ac:dyDescent="0.25">
      <c r="A20" s="217">
        <f ca="1">INDIRECT(""&amp;B3&amp;"!B20")</f>
        <v>0</v>
      </c>
      <c r="B20" s="263" t="e">
        <f ca="1">IFERROR(VLOOKUP(A20,Monday!$B$2:$S$18,7,FALSE),IFERROR(VLOOKUP(A20,Tuesday!$B$2:$S$18,7,FALSE),IFERROR(VLOOKUP(A20,Wednesday!$B$2:$S$18,7,FALSE),IFERROR(VLOOKUP(A20,Thursday!$B$2:$S$18,7,FALSE),VLOOKUP(A20,Friday!$B$2:$S$18,7,FALSE)))))</f>
        <v>#N/A</v>
      </c>
      <c r="C20" s="263" t="e">
        <f ca="1">IFERROR(VLOOKUP(A20,Monday!$B$2:$S$18,6,FALSE),IFERROR(VLOOKUP(A20,Tuesday!$B$2:$S$18,6,FALSE),IFERROR(VLOOKUP(A20,Wednesday!$B$2:$S$18,6,FALSE),IFERROR(VLOOKUP(A20,Thursday!$B$2:$S$18,6,FALSE),VLOOKUP(A20,Friday!$B$2:$S$18,6,FALSE)))))</f>
        <v>#N/A</v>
      </c>
      <c r="D20" s="263" t="e">
        <f ca="1">IFERROR(VLOOKUP(A20,Monday!$B$2:$S$18,11,FALSE),IFERROR(VLOOKUP(A20,Tuesday!$B$2:$S$18,11,FALSE),IFERROR(VLOOKUP(A20,Wednesday!$B$2:$S$18,11,FALSE),IFERROR(VLOOKUP(A20,Thursday!$B$2:$S$18,11,FALSE),VLOOKUP(A20,Friday!$B$2:$S$18,11,FALSE)))))</f>
        <v>#N/A</v>
      </c>
      <c r="E20" s="263" t="e">
        <f ca="1">IFERROR(VLOOKUP(A20,Monday!$B$2:$S$18,3,FALSE),IFERROR(VLOOKUP(A20,Tuesday!$B$2:$S$18,3,FALSE),IFERROR(VLOOKUP(A20,Wednesday!$B$2:$S$18,3,FALSE),IFERROR(VLOOKUP(A20,Thursday!$B$2:$S$18,3,FALSE),VLOOKUP(A20,Friday!$B$2:$S$18,3,FALSE)))))</f>
        <v>#N/A</v>
      </c>
      <c r="F20" s="264" t="e">
        <f ca="1">IFERROR(VLOOKUP(A20,Monday!$B$2:$S$18,9,FALSE),IFERROR(VLOOKUP(A20,Tuesday!$B$2:$S$18,9,FALSE),IFERROR(VLOOKUP(A20,Wednesday!$B$2:$S$18,9,FALSE),IFERROR(VLOOKUP(A20,Thursday!$B$2:$S$18,9,FALSE),VLOOKUP(A20,Friday!$B$2:$S$18,9,FALSE)))))</f>
        <v>#N/A</v>
      </c>
      <c r="G20" s="263" t="e">
        <f ca="1">IFERROR(VLOOKUP(A20,Monday!$B$2:$S$18,10,FALSE),IFERROR(VLOOKUP(A20,Tuesday!$B$2:$S$18,10,FALSE),IFERROR(VLOOKUP(A20,Wednesday!$B$2:$S$18,10,FALSE),IFERROR(VLOOKUP(A20,Thursday!$B$2:$S$18,10,FALSE),VLOOKUP(A20,Friday!$B$2:$S$18,10,FALSE)))))</f>
        <v>#N/A</v>
      </c>
      <c r="H20" s="263" t="e">
        <f ca="1">IFERROR(VLOOKUP(A20,Monday!$B$2:$S$60,5,FALSE),IFERROR(VLOOKUP(A20,Tuesday!$B$2:$S$60,5,FALSE),IFERROR(VLOOKUP(A20,Wednesday!$B$2:$S$60,5,FALSE),IFERROR(VLOOKUP(A20,Thursday!$B$2:$S$60,5,FALSE),VLOOKUP(A20,Friday!$B$2:$S$60,5,FALSE)))))</f>
        <v>#N/A</v>
      </c>
      <c r="I20" s="212"/>
      <c r="J20" s="212"/>
      <c r="K20" s="212"/>
      <c r="L20" s="212"/>
      <c r="M20" s="212"/>
    </row>
    <row r="21" spans="1:13" ht="17.25" customHeight="1" x14ac:dyDescent="0.25">
      <c r="A21" s="217" t="str">
        <f ca="1">INDIRECT(""&amp;B3&amp;"!B21")</f>
        <v>REF #</v>
      </c>
      <c r="B21" s="263" t="str">
        <f ca="1">IFERROR(VLOOKUP(A21,Monday!$B$2:$S$18,7,FALSE),IFERROR(VLOOKUP(A21,Tuesday!$B$2:$S$18,7,FALSE),IFERROR(VLOOKUP(A21,Wednesday!$B$2:$S$18,7,FALSE),IFERROR(VLOOKUP(A21,Thursday!$B$2:$S$18,7,FALSE),VLOOKUP(A21,Friday!$B$2:$S$18,7,FALSE)))))</f>
        <v>CUSTOMER NAME</v>
      </c>
      <c r="C21" s="263" t="str">
        <f ca="1">IFERROR(VLOOKUP(A21,Monday!$B$2:$S$18,6,FALSE),IFERROR(VLOOKUP(A21,Tuesday!$B$2:$S$18,6,FALSE),IFERROR(VLOOKUP(A21,Wednesday!$B$2:$S$18,6,FALSE),IFERROR(VLOOKUP(A21,Thursday!$B$2:$S$18,6,FALSE),VLOOKUP(A21,Friday!$B$2:$S$18,6,FALSE)))))</f>
        <v xml:space="preserve">CUSTOMER PO </v>
      </c>
      <c r="D21" s="263" t="str">
        <f ca="1">IFERROR(VLOOKUP(A21,Monday!$B$2:$S$18,11,FALSE),IFERROR(VLOOKUP(A21,Tuesday!$B$2:$S$18,11,FALSE),IFERROR(VLOOKUP(A21,Wednesday!$B$2:$S$18,11,FALSE),IFERROR(VLOOKUP(A21,Thursday!$B$2:$S$18,11,FALSE),VLOOKUP(A21,Friday!$B$2:$S$18,11,FALSE)))))</f>
        <v>PAL</v>
      </c>
      <c r="E21" s="263" t="str">
        <f ca="1">IFERROR(VLOOKUP(A21,Monday!$B$2:$S$18,3,FALSE),IFERROR(VLOOKUP(A21,Tuesday!$B$2:$S$18,3,FALSE),IFERROR(VLOOKUP(A21,Wednesday!$B$2:$S$18,3,FALSE),IFERROR(VLOOKUP(A21,Thursday!$B$2:$S$18,3,FALSE),VLOOKUP(A21,Friday!$B$2:$S$18,3,FALSE)))))</f>
        <v>Delivery #</v>
      </c>
      <c r="F21" s="264" t="str">
        <f ca="1">IFERROR(VLOOKUP(A21,Monday!$B$2:$S$18,9,FALSE),IFERROR(VLOOKUP(A21,Tuesday!$B$2:$S$18,9,FALSE),IFERROR(VLOOKUP(A21,Wednesday!$B$2:$S$18,9,FALSE),IFERROR(VLOOKUP(A21,Thursday!$B$2:$S$18,9,FALSE),VLOOKUP(A21,Friday!$B$2:$S$18,9,FALSE)))))</f>
        <v>Timeslot</v>
      </c>
      <c r="G21" s="263" t="str">
        <f ca="1">IFERROR(VLOOKUP(A21,Monday!$B$2:$S$18,10,FALSE),IFERROR(VLOOKUP(A21,Tuesday!$B$2:$S$18,10,FALSE),IFERROR(VLOOKUP(A21,Wednesday!$B$2:$S$18,10,FALSE),IFERROR(VLOOKUP(A21,Thursday!$B$2:$S$18,10,FALSE),VLOOKUP(A21,Friday!$B$2:$S$18,10,FALSE)))))</f>
        <v>Booking Ref</v>
      </c>
      <c r="H21" s="263" t="str">
        <f ca="1">IFERROR(VLOOKUP(A21,Monday!$B$2:$S$60,5,FALSE),IFERROR(VLOOKUP(A21,Tuesday!$B$2:$S$60,5,FALSE),IFERROR(VLOOKUP(A21,Wednesday!$B$2:$S$60,5,FALSE),IFERROR(VLOOKUP(A21,Thursday!$B$2:$S$60,5,FALSE),VLOOKUP(A21,Friday!$B$2:$S$60,5,FALSE)))))</f>
        <v>PO NUMBER</v>
      </c>
      <c r="I21" s="212"/>
      <c r="J21" s="212"/>
      <c r="K21" s="212"/>
      <c r="L21" s="212"/>
      <c r="M21" s="212"/>
    </row>
    <row r="22" spans="1:13" ht="17.25" customHeight="1" x14ac:dyDescent="0.25">
      <c r="A22" s="217" t="str">
        <f ca="1">INDIRECT(""&amp;B3&amp;"!B22")</f>
        <v>001-14</v>
      </c>
      <c r="B22" s="263" t="e">
        <f ca="1">IFERROR(VLOOKUP(A22,Monday!$B$2:$S$18,7,FALSE),IFERROR(VLOOKUP(A22,Tuesday!$B$2:$S$18,7,FALSE),IFERROR(VLOOKUP(A22,Wednesday!$B$2:$S$18,7,FALSE),IFERROR(VLOOKUP(A22,Thursday!$B$2:$S$18,7,FALSE),VLOOKUP(A22,Friday!$B$2:$S$18,7,FALSE)))))</f>
        <v>#N/A</v>
      </c>
      <c r="C22" s="263" t="e">
        <f ca="1">IFERROR(VLOOKUP(A22,Monday!$B$2:$S$18,6,FALSE),IFERROR(VLOOKUP(A22,Tuesday!$B$2:$S$18,6,FALSE),IFERROR(VLOOKUP(A22,Wednesday!$B$2:$S$18,6,FALSE),IFERROR(VLOOKUP(A22,Thursday!$B$2:$S$18,6,FALSE),VLOOKUP(A22,Friday!$B$2:$S$18,6,FALSE)))))</f>
        <v>#N/A</v>
      </c>
      <c r="D22" s="263" t="e">
        <f ca="1">IFERROR(VLOOKUP(A22,Monday!$B$2:$S$18,11,FALSE),IFERROR(VLOOKUP(A22,Tuesday!$B$2:$S$18,11,FALSE),IFERROR(VLOOKUP(A22,Wednesday!$B$2:$S$18,11,FALSE),IFERROR(VLOOKUP(A22,Thursday!$B$2:$S$18,11,FALSE),VLOOKUP(A22,Friday!$B$2:$S$18,11,FALSE)))))</f>
        <v>#N/A</v>
      </c>
      <c r="E22" s="263" t="e">
        <f ca="1">IFERROR(VLOOKUP(A22,Monday!$B$2:$S$18,3,FALSE),IFERROR(VLOOKUP(A22,Tuesday!$B$2:$S$18,3,FALSE),IFERROR(VLOOKUP(A22,Wednesday!$B$2:$S$18,3,FALSE),IFERROR(VLOOKUP(A22,Thursday!$B$2:$S$18,3,FALSE),VLOOKUP(A22,Friday!$B$2:$S$18,3,FALSE)))))</f>
        <v>#N/A</v>
      </c>
      <c r="F22" s="264" t="e">
        <f ca="1">IFERROR(VLOOKUP(A22,Monday!$B$2:$S$18,9,FALSE),IFERROR(VLOOKUP(A22,Tuesday!$B$2:$S$18,9,FALSE),IFERROR(VLOOKUP(A22,Wednesday!$B$2:$S$18,9,FALSE),IFERROR(VLOOKUP(A22,Thursday!$B$2:$S$18,9,FALSE),VLOOKUP(A22,Friday!$B$2:$S$18,9,FALSE)))))</f>
        <v>#N/A</v>
      </c>
      <c r="G22" s="263" t="e">
        <f ca="1">IFERROR(VLOOKUP(A22,Monday!$B$2:$S$18,10,FALSE),IFERROR(VLOOKUP(A22,Tuesday!$B$2:$S$18,10,FALSE),IFERROR(VLOOKUP(A22,Wednesday!$B$2:$S$18,10,FALSE),IFERROR(VLOOKUP(A22,Thursday!$B$2:$S$18,10,FALSE),VLOOKUP(A22,Friday!$B$2:$S$18,10,FALSE)))))</f>
        <v>#N/A</v>
      </c>
      <c r="H22" s="263">
        <f ca="1">IFERROR(VLOOKUP(A22,Monday!$B$2:$S$60,5,FALSE),IFERROR(VLOOKUP(A22,Tuesday!$B$2:$S$60,5,FALSE),IFERROR(VLOOKUP(A22,Wednesday!$B$2:$S$60,5,FALSE),IFERROR(VLOOKUP(A22,Thursday!$B$2:$S$60,5,FALSE),VLOOKUP(A22,Friday!$B$2:$S$60,5,FALSE)))))</f>
        <v>0</v>
      </c>
      <c r="I22" s="212"/>
      <c r="J22" s="212"/>
      <c r="K22" s="212"/>
      <c r="L22" s="212"/>
      <c r="M22" s="212"/>
    </row>
    <row r="23" spans="1:13" ht="17.25" customHeight="1" thickBot="1" x14ac:dyDescent="0.3">
      <c r="A23" s="218" t="str">
        <f ca="1">INDIRECT(""&amp;B3&amp;"!B23")</f>
        <v>001-15</v>
      </c>
      <c r="B23" s="263" t="e">
        <f ca="1">IFERROR(VLOOKUP(A23,Monday!$B$2:$S$18,7,FALSE),IFERROR(VLOOKUP(A23,Tuesday!$B$2:$S$18,7,FALSE),IFERROR(VLOOKUP(A23,Wednesday!$B$2:$S$18,7,FALSE),IFERROR(VLOOKUP(A23,Thursday!$B$2:$S$18,7,FALSE),VLOOKUP(A23,Friday!$B$2:$S$18,7,FALSE)))))</f>
        <v>#N/A</v>
      </c>
      <c r="C23" s="263" t="e">
        <f ca="1">IFERROR(VLOOKUP(A23,Monday!$B$2:$S$18,6,FALSE),IFERROR(VLOOKUP(A23,Tuesday!$B$2:$S$18,6,FALSE),IFERROR(VLOOKUP(A23,Wednesday!$B$2:$S$18,6,FALSE),IFERROR(VLOOKUP(A23,Thursday!$B$2:$S$18,6,FALSE),VLOOKUP(A23,Friday!$B$2:$S$18,6,FALSE)))))</f>
        <v>#N/A</v>
      </c>
      <c r="D23" s="263" t="e">
        <f ca="1">IFERROR(VLOOKUP(A23,Monday!$B$2:$S$18,11,FALSE),IFERROR(VLOOKUP(A23,Tuesday!$B$2:$S$18,11,FALSE),IFERROR(VLOOKUP(A23,Wednesday!$B$2:$S$18,11,FALSE),IFERROR(VLOOKUP(A23,Thursday!$B$2:$S$18,11,FALSE),VLOOKUP(A23,Friday!$B$2:$S$18,11,FALSE)))))</f>
        <v>#N/A</v>
      </c>
      <c r="E23" s="263" t="e">
        <f ca="1">IFERROR(VLOOKUP(A23,Monday!$B$2:$S$18,3,FALSE),IFERROR(VLOOKUP(A23,Tuesday!$B$2:$S$18,3,FALSE),IFERROR(VLOOKUP(A23,Wednesday!$B$2:$S$18,3,FALSE),IFERROR(VLOOKUP(A23,Thursday!$B$2:$S$18,3,FALSE),VLOOKUP(A23,Friday!$B$2:$S$18,3,FALSE)))))</f>
        <v>#N/A</v>
      </c>
      <c r="F23" s="264" t="e">
        <f ca="1">IFERROR(VLOOKUP(A23,Monday!$B$2:$S$18,9,FALSE),IFERROR(VLOOKUP(A23,Tuesday!$B$2:$S$18,9,FALSE),IFERROR(VLOOKUP(A23,Wednesday!$B$2:$S$18,9,FALSE),IFERROR(VLOOKUP(A23,Thursday!$B$2:$S$18,9,FALSE),VLOOKUP(A23,Friday!$B$2:$S$18,9,FALSE)))))</f>
        <v>#N/A</v>
      </c>
      <c r="G23" s="263" t="e">
        <f ca="1">IFERROR(VLOOKUP(A23,Monday!$B$2:$S$18,10,FALSE),IFERROR(VLOOKUP(A23,Tuesday!$B$2:$S$18,10,FALSE),IFERROR(VLOOKUP(A23,Wednesday!$B$2:$S$18,10,FALSE),IFERROR(VLOOKUP(A23,Thursday!$B$2:$S$18,10,FALSE),VLOOKUP(A23,Friday!$B$2:$S$18,10,FALSE)))))</f>
        <v>#N/A</v>
      </c>
      <c r="H23" s="263">
        <f ca="1">IFERROR(VLOOKUP(A23,Monday!$B$2:$S$60,5,FALSE),IFERROR(VLOOKUP(A23,Tuesday!$B$2:$S$60,5,FALSE),IFERROR(VLOOKUP(A23,Wednesday!$B$2:$S$60,5,FALSE),IFERROR(VLOOKUP(A23,Thursday!$B$2:$S$60,5,FALSE),VLOOKUP(A23,Friday!$B$2:$S$60,5,FALSE)))))</f>
        <v>0</v>
      </c>
      <c r="I23" s="212"/>
      <c r="J23" s="212"/>
      <c r="K23" s="212"/>
      <c r="L23" s="212"/>
      <c r="M23" s="212"/>
    </row>
    <row r="24" spans="1:13" ht="27" customHeight="1" thickBot="1" x14ac:dyDescent="0.3">
      <c r="A24" s="219"/>
      <c r="B24" s="227"/>
      <c r="C24" s="206"/>
      <c r="D24" s="206"/>
      <c r="E24" s="206"/>
      <c r="F24" s="206"/>
      <c r="G24" s="207"/>
      <c r="H24" s="265"/>
      <c r="I24" s="212"/>
      <c r="J24" s="212"/>
      <c r="K24" s="212"/>
      <c r="L24" s="212"/>
      <c r="M24" s="212"/>
    </row>
    <row r="25" spans="1:13" ht="27" customHeight="1" thickBot="1" x14ac:dyDescent="0.3">
      <c r="A25" s="220"/>
      <c r="B25" s="228"/>
      <c r="C25" s="230"/>
      <c r="D25" s="229" t="e">
        <f ca="1">SUM(D6:D23)</f>
        <v>#N/A</v>
      </c>
      <c r="E25" s="230"/>
      <c r="F25" s="208"/>
      <c r="G25" s="209"/>
      <c r="H25" s="209"/>
      <c r="I25" s="212"/>
      <c r="J25" s="212"/>
      <c r="K25" s="212"/>
      <c r="L25" s="212"/>
      <c r="M25" s="212"/>
    </row>
    <row r="26" spans="1:13" ht="27" customHeight="1" x14ac:dyDescent="0.25">
      <c r="A26" s="203"/>
    </row>
  </sheetData>
  <sheetProtection selectLockedCells="1" selectUnlockedCells="1"/>
  <mergeCells count="1">
    <mergeCell ref="C2:G4"/>
  </mergeCells>
  <conditionalFormatting sqref="F1">
    <cfRule type="cellIs" dxfId="7" priority="1" stopIfTrue="1" operator="greaterThan">
      <formula>0.5</formula>
    </cfRule>
  </conditionalFormatting>
  <pageMargins left="0.25" right="0.25" top="0.75" bottom="0.75" header="0.3" footer="0.3"/>
  <pageSetup paperSize="9" scale="98" fitToWidth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25D126-0987-43F3-AE64-EC8990087392}">
          <x14:formula1>
            <xm:f>'Reference List'!$J$11:$J$15</xm:f>
          </x14:formula1>
          <xm:sqref>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669BB-5D1F-4CBA-A82F-7340B2CA1944}">
  <sheetPr codeName="Sheet11">
    <tabColor rgb="FF00B0F0"/>
    <pageSetUpPr fitToPage="1"/>
  </sheetPr>
  <dimension ref="A1:M26"/>
  <sheetViews>
    <sheetView topLeftCell="B1" workbookViewId="0">
      <selection activeCell="D16" sqref="D16"/>
    </sheetView>
  </sheetViews>
  <sheetFormatPr defaultColWidth="21.85546875" defaultRowHeight="27" customHeight="1" x14ac:dyDescent="0.25"/>
  <cols>
    <col min="1" max="1" width="12.42578125" hidden="1" customWidth="1"/>
    <col min="2" max="2" width="52.140625" style="204" customWidth="1"/>
    <col min="3" max="3" width="19.28515625" style="204" customWidth="1"/>
    <col min="4" max="4" width="11" style="204" customWidth="1"/>
    <col min="5" max="5" width="18.140625" style="204" customWidth="1"/>
    <col min="6" max="6" width="10.140625" style="204" customWidth="1"/>
    <col min="7" max="7" width="14.7109375" style="204" customWidth="1"/>
    <col min="11" max="11" width="12.28515625" customWidth="1"/>
  </cols>
  <sheetData>
    <row r="1" spans="1:13" ht="27" customHeight="1" thickBot="1" x14ac:dyDescent="0.35">
      <c r="B1" s="221"/>
      <c r="C1" s="222"/>
      <c r="D1" s="223"/>
      <c r="E1" s="223"/>
      <c r="F1" s="222"/>
      <c r="G1" s="224"/>
    </row>
    <row r="2" spans="1:13" ht="27" customHeight="1" thickBot="1" x14ac:dyDescent="0.3">
      <c r="B2" s="234" t="s">
        <v>57</v>
      </c>
      <c r="C2" s="336" t="s">
        <v>485</v>
      </c>
      <c r="D2" s="337"/>
      <c r="E2" s="337"/>
      <c r="F2" s="337"/>
      <c r="G2" s="269"/>
      <c r="H2" s="342"/>
    </row>
    <row r="3" spans="1:13" ht="27" customHeight="1" thickBot="1" x14ac:dyDescent="0.3">
      <c r="A3" s="215" t="s">
        <v>481</v>
      </c>
      <c r="B3" s="235" t="s">
        <v>476</v>
      </c>
      <c r="C3" s="338"/>
      <c r="D3" s="339"/>
      <c r="E3" s="339"/>
      <c r="F3" s="339"/>
      <c r="G3" s="268"/>
      <c r="H3" s="343"/>
      <c r="I3" s="212"/>
      <c r="J3" s="212"/>
      <c r="K3" s="212"/>
      <c r="L3" s="212"/>
      <c r="M3" s="212"/>
    </row>
    <row r="4" spans="1:13" ht="27" customHeight="1" thickBot="1" x14ac:dyDescent="0.3">
      <c r="B4" s="236" t="e">
        <f ca="1">INDIRECT(""&amp;B3&amp;"!Q2")</f>
        <v>#VALUE!</v>
      </c>
      <c r="C4" s="340"/>
      <c r="D4" s="341"/>
      <c r="E4" s="341"/>
      <c r="F4" s="341"/>
      <c r="G4" s="270"/>
      <c r="H4" s="344"/>
      <c r="I4" s="212"/>
      <c r="J4" s="212"/>
      <c r="K4" s="212"/>
      <c r="L4" s="212"/>
      <c r="M4" s="212"/>
    </row>
    <row r="5" spans="1:13" ht="35.25" customHeight="1" thickBot="1" x14ac:dyDescent="0.3">
      <c r="A5" s="205"/>
      <c r="B5" s="210" t="s">
        <v>58</v>
      </c>
      <c r="C5" s="266" t="s">
        <v>59</v>
      </c>
      <c r="D5" s="266" t="s">
        <v>60</v>
      </c>
      <c r="E5" s="266" t="s">
        <v>61</v>
      </c>
      <c r="F5" s="266" t="s">
        <v>62</v>
      </c>
      <c r="G5" s="267" t="s">
        <v>63</v>
      </c>
      <c r="H5" s="267" t="s">
        <v>614</v>
      </c>
      <c r="I5" s="212"/>
      <c r="J5" s="212"/>
      <c r="K5" s="212"/>
      <c r="L5" s="212"/>
      <c r="M5" s="212"/>
    </row>
    <row r="6" spans="1:13" ht="17.25" customHeight="1" x14ac:dyDescent="0.25">
      <c r="A6" s="216" t="str">
        <f ca="1">INDIRECT(""&amp;B3&amp;"!B27")</f>
        <v>001-19</v>
      </c>
      <c r="B6" s="225">
        <f ca="1">IFERROR(VLOOKUP(A6,Monday!$B$2:$S$60,7,FALSE),IFERROR(VLOOKUP(A6,Tuesday!$B$2:$S$60,7,FALSE),IFERROR(VLOOKUP(A6,Wednesday!$B$2:$S$60,7,FALSE),IFERROR(VLOOKUP(A6,Thursday!$B$2:$S$60,7,FALSE),VLOOKUP(A6,Friday!$B$2:$S$60,7,FALSE)))))</f>
        <v>0</v>
      </c>
      <c r="C6" s="213">
        <f ca="1">IFERROR(VLOOKUP(A6,Monday!$B$2:$S$60,6,FALSE),IFERROR(VLOOKUP(A6,Tuesday!$B$2:$S$60,6,FALSE),IFERROR(VLOOKUP(A6,Wednesday!$B$2:$S$60,6,FALSE),IFERROR(VLOOKUP(A6,Thursday!$B$2:$S$60,6,FALSE),VLOOKUP(A6,Friday!$B$2:$S$60,6,FALSE)))))</f>
        <v>0</v>
      </c>
      <c r="D6" s="213">
        <f ca="1">IFERROR(VLOOKUP(A6,Monday!$B$2:$S$60,11,FALSE),IFERROR(VLOOKUP(A6,Tuesday!$B$2:$S$60,11,FALSE),IFERROR(VLOOKUP(A6,Wednesday!$B$2:$S$60,11,FALSE),IFERROR(VLOOKUP(A6,Thursday!$B$2:$S$60,11,FALSE),VLOOKUP(A6,Friday!$B$2:$S$60,11,FALSE)))))</f>
        <v>0</v>
      </c>
      <c r="E6" s="213">
        <f ca="1">IFERROR(VLOOKUP(A6,Monday!$B$2:$S$60,3,FALSE),IFERROR(VLOOKUP(A6,Tuesday!$B$2:$S$60,3,FALSE),IFERROR(VLOOKUP(A6,Wednesday!$B$2:$S$60,3,FALSE),IFERROR(VLOOKUP(A6,Thursday!$B$2:$S$60,3,FALSE),VLOOKUP(A6,Friday!$B$2:$S$60,3,FALSE)))))</f>
        <v>0</v>
      </c>
      <c r="F6" s="214" t="str">
        <f ca="1">IFERROR(VLOOKUP(A6,Monday!$B$2:$S$60,9,FALSE),IFERROR(VLOOKUP(A6,Tuesday!$B$2:$S$60,9,FALSE),IFERROR(VLOOKUP(A6,Wednesday!$B$2:$S$60,9,FALSE),IFERROR(VLOOKUP(A6,Thursday!$B$2:$S$60,9,FALSE),VLOOKUP(A6,Friday!$B$2:$S$60,9,FALSE)))))</f>
        <v/>
      </c>
      <c r="G6" s="226">
        <f ca="1">IFERROR(VLOOKUP(A6,Monday!$B$2:$S$60,10,FALSE),IFERROR(VLOOKUP(A6,Tuesday!$B$2:$S$60,10,FALSE),IFERROR(VLOOKUP(A6,Wednesday!$B$2:$S$60,10,FALSE),IFERROR(VLOOKUP(A6,Thursday!$B$2:$S$60,10,FALSE),VLOOKUP(A6,Friday!$B$2:$S$60,10,FALSE)))))</f>
        <v>0</v>
      </c>
      <c r="H6" s="226">
        <f ca="1">IFERROR(VLOOKUP(A6,Monday!$B$2:$S$60,5,FALSE),IFERROR(VLOOKUP(A6,Tuesday!$B$2:$S$60,5,FALSE),IFERROR(VLOOKUP(A6,Wednesday!$B$2:$S$60,5,FALSE),IFERROR(VLOOKUP(A6,Thursday!$B$2:$S$60,5,FALSE),VLOOKUP(A6,Friday!$B$2:$S$60,5,FALSE)))))</f>
        <v>0</v>
      </c>
      <c r="I6" s="212"/>
      <c r="J6" s="212"/>
      <c r="K6" s="212"/>
      <c r="L6" s="212"/>
      <c r="M6" s="212"/>
    </row>
    <row r="7" spans="1:13" ht="17.25" customHeight="1" x14ac:dyDescent="0.25">
      <c r="A7" s="217" t="str">
        <f ca="1">INDIRECT(""&amp;B3&amp;"!B28")</f>
        <v>001-20</v>
      </c>
      <c r="B7" s="225">
        <f ca="1">IFERROR(VLOOKUP(A7,Monday!$B$2:$S$60,7,FALSE),IFERROR(VLOOKUP(A7,Tuesday!$B$2:$S$60,7,FALSE),IFERROR(VLOOKUP(A7,Wednesday!$B$2:$S$60,7,FALSE),IFERROR(VLOOKUP(A7,Thursday!$B$2:$S$60,7,FALSE),VLOOKUP(A7,Friday!$B$2:$S$60,7,FALSE)))))</f>
        <v>0</v>
      </c>
      <c r="C7" s="213">
        <f ca="1">IFERROR(VLOOKUP(A7,Monday!$B$2:$S$60,6,FALSE),IFERROR(VLOOKUP(A7,Tuesday!$B$2:$S$60,6,FALSE),IFERROR(VLOOKUP(A7,Wednesday!$B$2:$S$60,6,FALSE),IFERROR(VLOOKUP(A7,Thursday!$B$2:$S$60,6,FALSE),VLOOKUP(A7,Friday!$B$2:$S$60,6,FALSE)))))</f>
        <v>0</v>
      </c>
      <c r="D7" s="213">
        <f ca="1">IFERROR(VLOOKUP(A7,Monday!$B$2:$S$60,11,FALSE),IFERROR(VLOOKUP(A7,Tuesday!$B$2:$S$60,11,FALSE),IFERROR(VLOOKUP(A7,Wednesday!$B$2:$S$60,11,FALSE),IFERROR(VLOOKUP(A7,Thursday!$B$2:$S$60,11,FALSE),VLOOKUP(A7,Friday!$B$2:$S$60,11,FALSE)))))</f>
        <v>0</v>
      </c>
      <c r="E7" s="213">
        <f ca="1">IFERROR(VLOOKUP(A7,Monday!$B$2:$S$60,3,FALSE),IFERROR(VLOOKUP(A7,Tuesday!$B$2:$S$60,3,FALSE),IFERROR(VLOOKUP(A7,Wednesday!$B$2:$S$60,3,FALSE),IFERROR(VLOOKUP(A7,Thursday!$B$2:$S$60,3,FALSE),VLOOKUP(A7,Friday!$B$2:$S$60,3,FALSE)))))</f>
        <v>0</v>
      </c>
      <c r="F7" s="214" t="str">
        <f ca="1">IFERROR(VLOOKUP(A7,Monday!$B$2:$S$60,9,FALSE),IFERROR(VLOOKUP(A7,Tuesday!$B$2:$S$60,9,FALSE),IFERROR(VLOOKUP(A7,Wednesday!$B$2:$S$60,9,FALSE),IFERROR(VLOOKUP(A7,Thursday!$B$2:$S$60,9,FALSE),VLOOKUP(A7,Friday!$B$2:$S$60,9,FALSE)))))</f>
        <v/>
      </c>
      <c r="G7" s="226">
        <f ca="1">IFERROR(VLOOKUP(A7,Monday!$B$2:$S$60,10,FALSE),IFERROR(VLOOKUP(A7,Tuesday!$B$2:$S$60,10,FALSE),IFERROR(VLOOKUP(A7,Wednesday!$B$2:$S$60,10,FALSE),IFERROR(VLOOKUP(A7,Thursday!$B$2:$S$60,10,FALSE),VLOOKUP(A7,Friday!$B$2:$S$60,10,FALSE)))))</f>
        <v>0</v>
      </c>
      <c r="H7" s="226">
        <f ca="1">IFERROR(VLOOKUP(A7,Monday!$B$2:$S$60,5,FALSE),IFERROR(VLOOKUP(A7,Tuesday!$B$2:$S$60,5,FALSE),IFERROR(VLOOKUP(A7,Wednesday!$B$2:$S$60,5,FALSE),IFERROR(VLOOKUP(A7,Thursday!$B$2:$S$60,5,FALSE),VLOOKUP(A7,Friday!$B$2:$S$60,5,FALSE)))))</f>
        <v>0</v>
      </c>
      <c r="I7" s="212"/>
      <c r="J7" s="212"/>
      <c r="K7" s="212"/>
      <c r="L7" s="212"/>
      <c r="M7" s="212"/>
    </row>
    <row r="8" spans="1:13" ht="17.25" customHeight="1" x14ac:dyDescent="0.25">
      <c r="A8" s="217" t="str">
        <f ca="1">INDIRECT(""&amp;B3&amp;"!B29")</f>
        <v>001-21</v>
      </c>
      <c r="B8" s="225" t="str">
        <f ca="1">IFERROR(VLOOKUP(A8,Monday!$B$2:$S$60,7,FALSE),IFERROR(VLOOKUP(A8,Tuesday!$B$2:$S$60,7,FALSE),IFERROR(VLOOKUP(A8,Wednesday!$B$2:$S$60,7,FALSE),IFERROR(VLOOKUP(A8,Thursday!$B$2:$S$60,7,FALSE),VLOOKUP(A8,Friday!$B$2:$S$60,7,FALSE)))))</f>
        <v/>
      </c>
      <c r="C8" s="213">
        <f ca="1">IFERROR(VLOOKUP(A8,Monday!$B$2:$S$60,6,FALSE),IFERROR(VLOOKUP(A8,Tuesday!$B$2:$S$60,6,FALSE),IFERROR(VLOOKUP(A8,Wednesday!$B$2:$S$60,6,FALSE),IFERROR(VLOOKUP(A8,Thursday!$B$2:$S$60,6,FALSE),VLOOKUP(A8,Friday!$B$2:$S$60,6,FALSE)))))</f>
        <v>0</v>
      </c>
      <c r="D8" s="213">
        <f ca="1">IFERROR(VLOOKUP(A8,Monday!$B$2:$S$60,11,FALSE),IFERROR(VLOOKUP(A8,Tuesday!$B$2:$S$60,11,FALSE),IFERROR(VLOOKUP(A8,Wednesday!$B$2:$S$60,11,FALSE),IFERROR(VLOOKUP(A8,Thursday!$B$2:$S$60,11,FALSE),VLOOKUP(A8,Friday!$B$2:$S$60,11,FALSE)))))</f>
        <v>0</v>
      </c>
      <c r="E8" s="213">
        <f ca="1">IFERROR(VLOOKUP(A8,Monday!$B$2:$S$60,3,FALSE),IFERROR(VLOOKUP(A8,Tuesday!$B$2:$S$60,3,FALSE),IFERROR(VLOOKUP(A8,Wednesday!$B$2:$S$60,3,FALSE),IFERROR(VLOOKUP(A8,Thursday!$B$2:$S$60,3,FALSE),VLOOKUP(A8,Friday!$B$2:$S$60,3,FALSE)))))</f>
        <v>0</v>
      </c>
      <c r="F8" s="214" t="str">
        <f ca="1">IFERROR(VLOOKUP(A8,Monday!$B$2:$S$60,9,FALSE),IFERROR(VLOOKUP(A8,Tuesday!$B$2:$S$60,9,FALSE),IFERROR(VLOOKUP(A8,Wednesday!$B$2:$S$60,9,FALSE),IFERROR(VLOOKUP(A8,Thursday!$B$2:$S$60,9,FALSE),VLOOKUP(A8,Friday!$B$2:$S$60,9,FALSE)))))</f>
        <v/>
      </c>
      <c r="G8" s="226">
        <f ca="1">IFERROR(VLOOKUP(A8,Monday!$B$2:$S$60,10,FALSE),IFERROR(VLOOKUP(A8,Tuesday!$B$2:$S$60,10,FALSE),IFERROR(VLOOKUP(A8,Wednesday!$B$2:$S$60,10,FALSE),IFERROR(VLOOKUP(A8,Thursday!$B$2:$S$60,10,FALSE),VLOOKUP(A8,Friday!$B$2:$S$60,10,FALSE)))))</f>
        <v>0</v>
      </c>
      <c r="H8" s="226">
        <f ca="1">IFERROR(VLOOKUP(A8,Monday!$B$2:$S$60,5,FALSE),IFERROR(VLOOKUP(A8,Tuesday!$B$2:$S$60,5,FALSE),IFERROR(VLOOKUP(A8,Wednesday!$B$2:$S$60,5,FALSE),IFERROR(VLOOKUP(A8,Thursday!$B$2:$S$60,5,FALSE),VLOOKUP(A8,Friday!$B$2:$S$60,5,FALSE)))))</f>
        <v>0</v>
      </c>
      <c r="I8" s="212"/>
      <c r="J8" s="212"/>
      <c r="K8" s="212"/>
      <c r="L8" s="212"/>
      <c r="M8" s="212"/>
    </row>
    <row r="9" spans="1:13" ht="17.25" customHeight="1" x14ac:dyDescent="0.25">
      <c r="A9" s="217" t="str">
        <f ca="1">INDIRECT(""&amp;B3&amp;"!B30")</f>
        <v>001-22</v>
      </c>
      <c r="B9" s="225" t="str">
        <f ca="1">IFERROR(VLOOKUP(A9,Monday!$B$2:$S$60,7,FALSE),IFERROR(VLOOKUP(A9,Tuesday!$B$2:$S$60,7,FALSE),IFERROR(VLOOKUP(A9,Wednesday!$B$2:$S$60,7,FALSE),IFERROR(VLOOKUP(A9,Thursday!$B$2:$S$60,7,FALSE),VLOOKUP(A9,Friday!$B$2:$S$60,7,FALSE)))))</f>
        <v/>
      </c>
      <c r="C9" s="213">
        <f ca="1">IFERROR(VLOOKUP(A9,Monday!$B$2:$S$60,6,FALSE),IFERROR(VLOOKUP(A9,Tuesday!$B$2:$S$60,6,FALSE),IFERROR(VLOOKUP(A9,Wednesday!$B$2:$S$60,6,FALSE),IFERROR(VLOOKUP(A9,Thursday!$B$2:$S$60,6,FALSE),VLOOKUP(A9,Friday!$B$2:$S$60,6,FALSE)))))</f>
        <v>0</v>
      </c>
      <c r="D9" s="213">
        <f ca="1">IFERROR(VLOOKUP(A9,Monday!$B$2:$S$60,11,FALSE),IFERROR(VLOOKUP(A9,Tuesday!$B$2:$S$60,11,FALSE),IFERROR(VLOOKUP(A9,Wednesday!$B$2:$S$60,11,FALSE),IFERROR(VLOOKUP(A9,Thursday!$B$2:$S$60,11,FALSE),VLOOKUP(A9,Friday!$B$2:$S$60,11,FALSE)))))</f>
        <v>0</v>
      </c>
      <c r="E9" s="213">
        <f ca="1">IFERROR(VLOOKUP(A9,Monday!$B$2:$S$60,3,FALSE),IFERROR(VLOOKUP(A9,Tuesday!$B$2:$S$60,3,FALSE),IFERROR(VLOOKUP(A9,Wednesday!$B$2:$S$60,3,FALSE),IFERROR(VLOOKUP(A9,Thursday!$B$2:$S$60,3,FALSE),VLOOKUP(A9,Friday!$B$2:$S$60,3,FALSE)))))</f>
        <v>0</v>
      </c>
      <c r="F9" s="214" t="str">
        <f ca="1">IFERROR(VLOOKUP(A9,Monday!$B$2:$S$60,9,FALSE),IFERROR(VLOOKUP(A9,Tuesday!$B$2:$S$60,9,FALSE),IFERROR(VLOOKUP(A9,Wednesday!$B$2:$S$60,9,FALSE),IFERROR(VLOOKUP(A9,Thursday!$B$2:$S$60,9,FALSE),VLOOKUP(A9,Friday!$B$2:$S$60,9,FALSE)))))</f>
        <v/>
      </c>
      <c r="G9" s="226">
        <f ca="1">IFERROR(VLOOKUP(A9,Monday!$B$2:$S$60,10,FALSE),IFERROR(VLOOKUP(A9,Tuesday!$B$2:$S$60,10,FALSE),IFERROR(VLOOKUP(A9,Wednesday!$B$2:$S$60,10,FALSE),IFERROR(VLOOKUP(A9,Thursday!$B$2:$S$60,10,FALSE),VLOOKUP(A9,Friday!$B$2:$S$60,10,FALSE)))))</f>
        <v>0</v>
      </c>
      <c r="H9" s="226">
        <f ca="1">IFERROR(VLOOKUP(A9,Monday!$B$2:$S$60,5,FALSE),IFERROR(VLOOKUP(A9,Tuesday!$B$2:$S$60,5,FALSE),IFERROR(VLOOKUP(A9,Wednesday!$B$2:$S$60,5,FALSE),IFERROR(VLOOKUP(A9,Thursday!$B$2:$S$60,5,FALSE),VLOOKUP(A9,Friday!$B$2:$S$60,5,FALSE)))))</f>
        <v>0</v>
      </c>
      <c r="I9" s="212"/>
      <c r="J9" s="212"/>
      <c r="K9" s="212"/>
      <c r="L9" s="212"/>
      <c r="M9" s="212"/>
    </row>
    <row r="10" spans="1:13" ht="17.25" customHeight="1" x14ac:dyDescent="0.25">
      <c r="A10" s="217" t="str">
        <f ca="1">INDIRECT(""&amp;B3&amp;"!B31")</f>
        <v>001-23</v>
      </c>
      <c r="B10" s="225" t="str">
        <f ca="1">IFERROR(VLOOKUP(A10,Monday!$B$2:$S$60,7,FALSE),IFERROR(VLOOKUP(A10,Tuesday!$B$2:$S$60,7,FALSE),IFERROR(VLOOKUP(A10,Wednesday!$B$2:$S$60,7,FALSE),IFERROR(VLOOKUP(A10,Thursday!$B$2:$S$60,7,FALSE),VLOOKUP(A10,Friday!$B$2:$S$60,7,FALSE)))))</f>
        <v/>
      </c>
      <c r="C10" s="213">
        <f ca="1">IFERROR(VLOOKUP(A10,Monday!$B$2:$S$60,6,FALSE),IFERROR(VLOOKUP(A10,Tuesday!$B$2:$S$60,6,FALSE),IFERROR(VLOOKUP(A10,Wednesday!$B$2:$S$60,6,FALSE),IFERROR(VLOOKUP(A10,Thursday!$B$2:$S$60,6,FALSE),VLOOKUP(A10,Friday!$B$2:$S$60,6,FALSE)))))</f>
        <v>0</v>
      </c>
      <c r="D10" s="213">
        <f ca="1">IFERROR(VLOOKUP(A10,Monday!$B$2:$S$60,11,FALSE),IFERROR(VLOOKUP(A10,Tuesday!$B$2:$S$60,11,FALSE),IFERROR(VLOOKUP(A10,Wednesday!$B$2:$S$60,11,FALSE),IFERROR(VLOOKUP(A10,Thursday!$B$2:$S$60,11,FALSE),VLOOKUP(A10,Friday!$B$2:$S$60,11,FALSE)))))</f>
        <v>0</v>
      </c>
      <c r="E10" s="213">
        <f ca="1">IFERROR(VLOOKUP(A10,Monday!$B$2:$S$60,3,FALSE),IFERROR(VLOOKUP(A10,Tuesday!$B$2:$S$60,3,FALSE),IFERROR(VLOOKUP(A10,Wednesday!$B$2:$S$60,3,FALSE),IFERROR(VLOOKUP(A10,Thursday!$B$2:$S$60,3,FALSE),VLOOKUP(A10,Friday!$B$2:$S$60,3,FALSE)))))</f>
        <v>0</v>
      </c>
      <c r="F10" s="214" t="str">
        <f ca="1">IFERROR(VLOOKUP(A10,Monday!$B$2:$S$60,9,FALSE),IFERROR(VLOOKUP(A10,Tuesday!$B$2:$S$60,9,FALSE),IFERROR(VLOOKUP(A10,Wednesday!$B$2:$S$60,9,FALSE),IFERROR(VLOOKUP(A10,Thursday!$B$2:$S$60,9,FALSE),VLOOKUP(A10,Friday!$B$2:$S$60,9,FALSE)))))</f>
        <v/>
      </c>
      <c r="G10" s="226">
        <f ca="1">IFERROR(VLOOKUP(A10,Monday!$B$2:$S$60,10,FALSE),IFERROR(VLOOKUP(A10,Tuesday!$B$2:$S$60,10,FALSE),IFERROR(VLOOKUP(A10,Wednesday!$B$2:$S$60,10,FALSE),IFERROR(VLOOKUP(A10,Thursday!$B$2:$S$60,10,FALSE),VLOOKUP(A10,Friday!$B$2:$S$60,10,FALSE)))))</f>
        <v>0</v>
      </c>
      <c r="H10" s="226">
        <f ca="1">IFERROR(VLOOKUP(A10,Monday!$B$2:$S$60,5,FALSE),IFERROR(VLOOKUP(A10,Tuesday!$B$2:$S$60,5,FALSE),IFERROR(VLOOKUP(A10,Wednesday!$B$2:$S$60,5,FALSE),IFERROR(VLOOKUP(A10,Thursday!$B$2:$S$60,5,FALSE),VLOOKUP(A10,Friday!$B$2:$S$60,5,FALSE)))))</f>
        <v>0</v>
      </c>
      <c r="I10" s="212"/>
      <c r="J10" s="212"/>
      <c r="K10" s="212"/>
      <c r="L10" s="212"/>
      <c r="M10" s="212"/>
    </row>
    <row r="11" spans="1:13" ht="17.25" customHeight="1" x14ac:dyDescent="0.25">
      <c r="A11" s="217" t="str">
        <f ca="1">INDIRECT(""&amp;B3&amp;"!B32")</f>
        <v>001-24</v>
      </c>
      <c r="B11" s="225" t="str">
        <f ca="1">IFERROR(VLOOKUP(A11,Monday!$B$2:$S$60,7,FALSE),IFERROR(VLOOKUP(A11,Tuesday!$B$2:$S$60,7,FALSE),IFERROR(VLOOKUP(A11,Wednesday!$B$2:$S$60,7,FALSE),IFERROR(VLOOKUP(A11,Thursday!$B$2:$S$60,7,FALSE),VLOOKUP(A11,Friday!$B$2:$S$60,7,FALSE)))))</f>
        <v/>
      </c>
      <c r="C11" s="213">
        <f ca="1">IFERROR(VLOOKUP(A11,Monday!$B$2:$S$60,6,FALSE),IFERROR(VLOOKUP(A11,Tuesday!$B$2:$S$60,6,FALSE),IFERROR(VLOOKUP(A11,Wednesday!$B$2:$S$60,6,FALSE),IFERROR(VLOOKUP(A11,Thursday!$B$2:$S$60,6,FALSE),VLOOKUP(A11,Friday!$B$2:$S$60,6,FALSE)))))</f>
        <v>0</v>
      </c>
      <c r="D11" s="213">
        <f ca="1">IFERROR(VLOOKUP(A11,Monday!$B$2:$S$60,11,FALSE),IFERROR(VLOOKUP(A11,Tuesday!$B$2:$S$60,11,FALSE),IFERROR(VLOOKUP(A11,Wednesday!$B$2:$S$60,11,FALSE),IFERROR(VLOOKUP(A11,Thursday!$B$2:$S$60,11,FALSE),VLOOKUP(A11,Friday!$B$2:$S$60,11,FALSE)))))</f>
        <v>0</v>
      </c>
      <c r="E11" s="213">
        <f ca="1">IFERROR(VLOOKUP(A11,Monday!$B$2:$S$60,3,FALSE),IFERROR(VLOOKUP(A11,Tuesday!$B$2:$S$60,3,FALSE),IFERROR(VLOOKUP(A11,Wednesday!$B$2:$S$60,3,FALSE),IFERROR(VLOOKUP(A11,Thursday!$B$2:$S$60,3,FALSE),VLOOKUP(A11,Friday!$B$2:$S$60,3,FALSE)))))</f>
        <v>0</v>
      </c>
      <c r="F11" s="214" t="str">
        <f ca="1">IFERROR(VLOOKUP(A11,Monday!$B$2:$S$60,9,FALSE),IFERROR(VLOOKUP(A11,Tuesday!$B$2:$S$60,9,FALSE),IFERROR(VLOOKUP(A11,Wednesday!$B$2:$S$60,9,FALSE),IFERROR(VLOOKUP(A11,Thursday!$B$2:$S$60,9,FALSE),VLOOKUP(A11,Friday!$B$2:$S$60,9,FALSE)))))</f>
        <v/>
      </c>
      <c r="G11" s="226">
        <f ca="1">IFERROR(VLOOKUP(A11,Monday!$B$2:$S$60,10,FALSE),IFERROR(VLOOKUP(A11,Tuesday!$B$2:$S$60,10,FALSE),IFERROR(VLOOKUP(A11,Wednesday!$B$2:$S$60,10,FALSE),IFERROR(VLOOKUP(A11,Thursday!$B$2:$S$60,10,FALSE),VLOOKUP(A11,Friday!$B$2:$S$60,10,FALSE)))))</f>
        <v>0</v>
      </c>
      <c r="H11" s="226">
        <f ca="1">IFERROR(VLOOKUP(A11,Monday!$B$2:$S$60,5,FALSE),IFERROR(VLOOKUP(A11,Tuesday!$B$2:$S$60,5,FALSE),IFERROR(VLOOKUP(A11,Wednesday!$B$2:$S$60,5,FALSE),IFERROR(VLOOKUP(A11,Thursday!$B$2:$S$60,5,FALSE),VLOOKUP(A11,Friday!$B$2:$S$60,5,FALSE)))))</f>
        <v>0</v>
      </c>
      <c r="I11" s="212"/>
      <c r="J11" s="212"/>
      <c r="K11" s="212"/>
      <c r="L11" s="212"/>
      <c r="M11" s="212"/>
    </row>
    <row r="12" spans="1:13" ht="17.25" customHeight="1" x14ac:dyDescent="0.25">
      <c r="A12" s="217" t="str">
        <f ca="1">INDIRECT(""&amp;B3&amp;"!B33")</f>
        <v>001-25</v>
      </c>
      <c r="B12" s="225" t="str">
        <f ca="1">IFERROR(VLOOKUP(A12,Monday!$B$2:$S$60,7,FALSE),IFERROR(VLOOKUP(A12,Tuesday!$B$2:$S$60,7,FALSE),IFERROR(VLOOKUP(A12,Wednesday!$B$2:$S$60,7,FALSE),IFERROR(VLOOKUP(A12,Thursday!$B$2:$S$60,7,FALSE),VLOOKUP(A12,Friday!$B$2:$S$60,7,FALSE)))))</f>
        <v/>
      </c>
      <c r="C12" s="213">
        <f ca="1">IFERROR(VLOOKUP(A12,Monday!$B$2:$S$60,6,FALSE),IFERROR(VLOOKUP(A12,Tuesday!$B$2:$S$60,6,FALSE),IFERROR(VLOOKUP(A12,Wednesday!$B$2:$S$60,6,FALSE),IFERROR(VLOOKUP(A12,Thursday!$B$2:$S$60,6,FALSE),VLOOKUP(A12,Friday!$B$2:$S$60,6,FALSE)))))</f>
        <v>0</v>
      </c>
      <c r="D12" s="213">
        <f ca="1">IFERROR(VLOOKUP(A12,Monday!$B$2:$S$60,11,FALSE),IFERROR(VLOOKUP(A12,Tuesday!$B$2:$S$60,11,FALSE),IFERROR(VLOOKUP(A12,Wednesday!$B$2:$S$60,11,FALSE),IFERROR(VLOOKUP(A12,Thursday!$B$2:$S$60,11,FALSE),VLOOKUP(A12,Friday!$B$2:$S$60,11,FALSE)))))</f>
        <v>0</v>
      </c>
      <c r="E12" s="213">
        <f ca="1">IFERROR(VLOOKUP(A12,Monday!$B$2:$S$60,3,FALSE),IFERROR(VLOOKUP(A12,Tuesday!$B$2:$S$60,3,FALSE),IFERROR(VLOOKUP(A12,Wednesday!$B$2:$S$60,3,FALSE),IFERROR(VLOOKUP(A12,Thursday!$B$2:$S$60,3,FALSE),VLOOKUP(A12,Friday!$B$2:$S$60,3,FALSE)))))</f>
        <v>0</v>
      </c>
      <c r="F12" s="214" t="str">
        <f ca="1">IFERROR(VLOOKUP(A12,Monday!$B$2:$S$60,9,FALSE),IFERROR(VLOOKUP(A12,Tuesday!$B$2:$S$60,9,FALSE),IFERROR(VLOOKUP(A12,Wednesday!$B$2:$S$60,9,FALSE),IFERROR(VLOOKUP(A12,Thursday!$B$2:$S$60,9,FALSE),VLOOKUP(A12,Friday!$B$2:$S$60,9,FALSE)))))</f>
        <v/>
      </c>
      <c r="G12" s="226">
        <f ca="1">IFERROR(VLOOKUP(A12,Monday!$B$2:$S$60,10,FALSE),IFERROR(VLOOKUP(A12,Tuesday!$B$2:$S$60,10,FALSE),IFERROR(VLOOKUP(A12,Wednesday!$B$2:$S$60,10,FALSE),IFERROR(VLOOKUP(A12,Thursday!$B$2:$S$60,10,FALSE),VLOOKUP(A12,Friday!$B$2:$S$60,10,FALSE)))))</f>
        <v>0</v>
      </c>
      <c r="H12" s="226">
        <f ca="1">IFERROR(VLOOKUP(A12,Monday!$B$2:$S$60,5,FALSE),IFERROR(VLOOKUP(A12,Tuesday!$B$2:$S$60,5,FALSE),IFERROR(VLOOKUP(A12,Wednesday!$B$2:$S$60,5,FALSE),IFERROR(VLOOKUP(A12,Thursday!$B$2:$S$60,5,FALSE),VLOOKUP(A12,Friday!$B$2:$S$60,5,FALSE)))))</f>
        <v>0</v>
      </c>
      <c r="I12" s="212"/>
      <c r="J12" s="212"/>
      <c r="K12" s="212"/>
      <c r="L12" s="212"/>
      <c r="M12" s="212"/>
    </row>
    <row r="13" spans="1:13" ht="17.25" customHeight="1" x14ac:dyDescent="0.25">
      <c r="A13" s="217" t="str">
        <f ca="1">INDIRECT(""&amp;B3&amp;"!B34")</f>
        <v>001-26</v>
      </c>
      <c r="B13" s="225" t="str">
        <f ca="1">IFERROR(VLOOKUP(A13,Monday!$B$2:$S$60,7,FALSE),IFERROR(VLOOKUP(A13,Tuesday!$B$2:$S$60,7,FALSE),IFERROR(VLOOKUP(A13,Wednesday!$B$2:$S$60,7,FALSE),IFERROR(VLOOKUP(A13,Thursday!$B$2:$S$60,7,FALSE),VLOOKUP(A13,Friday!$B$2:$S$60,7,FALSE)))))</f>
        <v/>
      </c>
      <c r="C13" s="213">
        <f ca="1">IFERROR(VLOOKUP(A13,Monday!$B$2:$S$60,6,FALSE),IFERROR(VLOOKUP(A13,Tuesday!$B$2:$S$60,6,FALSE),IFERROR(VLOOKUP(A13,Wednesday!$B$2:$S$60,6,FALSE),IFERROR(VLOOKUP(A13,Thursday!$B$2:$S$60,6,FALSE),VLOOKUP(A13,Friday!$B$2:$S$60,6,FALSE)))))</f>
        <v>0</v>
      </c>
      <c r="D13" s="213">
        <f ca="1">IFERROR(VLOOKUP(A13,Monday!$B$2:$S$60,11,FALSE),IFERROR(VLOOKUP(A13,Tuesday!$B$2:$S$60,11,FALSE),IFERROR(VLOOKUP(A13,Wednesday!$B$2:$S$60,11,FALSE),IFERROR(VLOOKUP(A13,Thursday!$B$2:$S$60,11,FALSE),VLOOKUP(A13,Friday!$B$2:$S$60,11,FALSE)))))</f>
        <v>0</v>
      </c>
      <c r="E13" s="213">
        <f ca="1">IFERROR(VLOOKUP(A13,Monday!$B$2:$S$60,3,FALSE),IFERROR(VLOOKUP(A13,Tuesday!$B$2:$S$60,3,FALSE),IFERROR(VLOOKUP(A13,Wednesday!$B$2:$S$60,3,FALSE),IFERROR(VLOOKUP(A13,Thursday!$B$2:$S$60,3,FALSE),VLOOKUP(A13,Friday!$B$2:$S$60,3,FALSE)))))</f>
        <v>0</v>
      </c>
      <c r="F13" s="214" t="str">
        <f ca="1">IFERROR(VLOOKUP(A13,Monday!$B$2:$S$60,9,FALSE),IFERROR(VLOOKUP(A13,Tuesday!$B$2:$S$60,9,FALSE),IFERROR(VLOOKUP(A13,Wednesday!$B$2:$S$60,9,FALSE),IFERROR(VLOOKUP(A13,Thursday!$B$2:$S$60,9,FALSE),VLOOKUP(A13,Friday!$B$2:$S$60,9,FALSE)))))</f>
        <v/>
      </c>
      <c r="G13" s="226">
        <f ca="1">IFERROR(VLOOKUP(A13,Monday!$B$2:$S$60,10,FALSE),IFERROR(VLOOKUP(A13,Tuesday!$B$2:$S$60,10,FALSE),IFERROR(VLOOKUP(A13,Wednesday!$B$2:$S$60,10,FALSE),IFERROR(VLOOKUP(A13,Thursday!$B$2:$S$60,10,FALSE),VLOOKUP(A13,Friday!$B$2:$S$60,10,FALSE)))))</f>
        <v>0</v>
      </c>
      <c r="H13" s="226">
        <f ca="1">IFERROR(VLOOKUP(A13,Monday!$B$2:$S$60,5,FALSE),IFERROR(VLOOKUP(A13,Tuesday!$B$2:$S$60,5,FALSE),IFERROR(VLOOKUP(A13,Wednesday!$B$2:$S$60,5,FALSE),IFERROR(VLOOKUP(A13,Thursday!$B$2:$S$60,5,FALSE),VLOOKUP(A13,Friday!$B$2:$S$60,5,FALSE)))))</f>
        <v>0</v>
      </c>
      <c r="I13" s="212"/>
      <c r="J13" s="212"/>
      <c r="K13" s="212"/>
      <c r="L13" s="212"/>
      <c r="M13" s="212"/>
    </row>
    <row r="14" spans="1:13" ht="17.25" customHeight="1" x14ac:dyDescent="0.25">
      <c r="A14" s="217" t="str">
        <f ca="1">INDIRECT(""&amp;B3&amp;"!B35")</f>
        <v>001-27</v>
      </c>
      <c r="B14" s="225" t="str">
        <f ca="1">IFERROR(VLOOKUP(A14,Monday!$B$2:$S$60,7,FALSE),IFERROR(VLOOKUP(A14,Tuesday!$B$2:$S$60,7,FALSE),IFERROR(VLOOKUP(A14,Wednesday!$B$2:$S$60,7,FALSE),IFERROR(VLOOKUP(A14,Thursday!$B$2:$S$60,7,FALSE),VLOOKUP(A14,Friday!$B$2:$S$60,7,FALSE)))))</f>
        <v/>
      </c>
      <c r="C14" s="213">
        <f ca="1">IFERROR(VLOOKUP(A14,Monday!$B$2:$S$60,6,FALSE),IFERROR(VLOOKUP(A14,Tuesday!$B$2:$S$60,6,FALSE),IFERROR(VLOOKUP(A14,Wednesday!$B$2:$S$60,6,FALSE),IFERROR(VLOOKUP(A14,Thursday!$B$2:$S$60,6,FALSE),VLOOKUP(A14,Friday!$B$2:$S$60,6,FALSE)))))</f>
        <v>0</v>
      </c>
      <c r="D14" s="213">
        <f ca="1">IFERROR(VLOOKUP(A14,Monday!$B$2:$S$60,11,FALSE),IFERROR(VLOOKUP(A14,Tuesday!$B$2:$S$60,11,FALSE),IFERROR(VLOOKUP(A14,Wednesday!$B$2:$S$60,11,FALSE),IFERROR(VLOOKUP(A14,Thursday!$B$2:$S$60,11,FALSE),VLOOKUP(A14,Friday!$B$2:$S$60,11,FALSE)))))</f>
        <v>0</v>
      </c>
      <c r="E14" s="213">
        <f ca="1">IFERROR(VLOOKUP(A14,Monday!$B$2:$S$60,3,FALSE),IFERROR(VLOOKUP(A14,Tuesday!$B$2:$S$60,3,FALSE),IFERROR(VLOOKUP(A14,Wednesday!$B$2:$S$60,3,FALSE),IFERROR(VLOOKUP(A14,Thursday!$B$2:$S$60,3,FALSE),VLOOKUP(A14,Friday!$B$2:$S$60,3,FALSE)))))</f>
        <v>0</v>
      </c>
      <c r="F14" s="214" t="str">
        <f ca="1">IFERROR(VLOOKUP(A14,Monday!$B$2:$S$60,9,FALSE),IFERROR(VLOOKUP(A14,Tuesday!$B$2:$S$60,9,FALSE),IFERROR(VLOOKUP(A14,Wednesday!$B$2:$S$60,9,FALSE),IFERROR(VLOOKUP(A14,Thursday!$B$2:$S$60,9,FALSE),VLOOKUP(A14,Friday!$B$2:$S$60,9,FALSE)))))</f>
        <v/>
      </c>
      <c r="G14" s="226">
        <f ca="1">IFERROR(VLOOKUP(A14,Monday!$B$2:$S$60,10,FALSE),IFERROR(VLOOKUP(A14,Tuesday!$B$2:$S$60,10,FALSE),IFERROR(VLOOKUP(A14,Wednesday!$B$2:$S$60,10,FALSE),IFERROR(VLOOKUP(A14,Thursday!$B$2:$S$60,10,FALSE),VLOOKUP(A14,Friday!$B$2:$S$60,10,FALSE)))))</f>
        <v>0</v>
      </c>
      <c r="H14" s="226">
        <f ca="1">IFERROR(VLOOKUP(A14,Monday!$B$2:$S$60,5,FALSE),IFERROR(VLOOKUP(A14,Tuesday!$B$2:$S$60,5,FALSE),IFERROR(VLOOKUP(A14,Wednesday!$B$2:$S$60,5,FALSE),IFERROR(VLOOKUP(A14,Thursday!$B$2:$S$60,5,FALSE),VLOOKUP(A14,Friday!$B$2:$S$60,5,FALSE)))))</f>
        <v>0</v>
      </c>
      <c r="I14" s="212"/>
      <c r="J14" s="212"/>
      <c r="K14" s="212"/>
      <c r="L14" s="212"/>
      <c r="M14" s="212"/>
    </row>
    <row r="15" spans="1:13" ht="17.25" customHeight="1" x14ac:dyDescent="0.25">
      <c r="A15" s="217" t="str">
        <f ca="1">INDIRECT(""&amp;B3&amp;"!B36")</f>
        <v>001-28</v>
      </c>
      <c r="B15" s="225" t="str">
        <f ca="1">IFERROR(VLOOKUP(A15,Monday!$B$2:$S$60,7,FALSE),IFERROR(VLOOKUP(A15,Tuesday!$B$2:$S$60,7,FALSE),IFERROR(VLOOKUP(A15,Wednesday!$B$2:$S$60,7,FALSE),IFERROR(VLOOKUP(A15,Thursday!$B$2:$S$60,7,FALSE),VLOOKUP(A15,Friday!$B$2:$S$60,7,FALSE)))))</f>
        <v/>
      </c>
      <c r="C15" s="213">
        <f ca="1">IFERROR(VLOOKUP(A15,Monday!$B$2:$S$60,6,FALSE),IFERROR(VLOOKUP(A15,Tuesday!$B$2:$S$60,6,FALSE),IFERROR(VLOOKUP(A15,Wednesday!$B$2:$S$60,6,FALSE),IFERROR(VLOOKUP(A15,Thursday!$B$2:$S$60,6,FALSE),VLOOKUP(A15,Friday!$B$2:$S$60,6,FALSE)))))</f>
        <v>0</v>
      </c>
      <c r="D15" s="213">
        <f ca="1">IFERROR(VLOOKUP(A15,Monday!$B$2:$S$60,11,FALSE),IFERROR(VLOOKUP(A15,Tuesday!$B$2:$S$60,11,FALSE),IFERROR(VLOOKUP(A15,Wednesday!$B$2:$S$60,11,FALSE),IFERROR(VLOOKUP(A15,Thursday!$B$2:$S$60,11,FALSE),VLOOKUP(A15,Friday!$B$2:$S$60,11,FALSE)))))</f>
        <v>0</v>
      </c>
      <c r="E15" s="213">
        <f ca="1">IFERROR(VLOOKUP(A15,Monday!$B$2:$S$60,3,FALSE),IFERROR(VLOOKUP(A15,Tuesday!$B$2:$S$60,3,FALSE),IFERROR(VLOOKUP(A15,Wednesday!$B$2:$S$60,3,FALSE),IFERROR(VLOOKUP(A15,Thursday!$B$2:$S$60,3,FALSE),VLOOKUP(A15,Friday!$B$2:$S$60,3,FALSE)))))</f>
        <v>0</v>
      </c>
      <c r="F15" s="214" t="str">
        <f ca="1">IFERROR(VLOOKUP(A15,Monday!$B$2:$S$60,9,FALSE),IFERROR(VLOOKUP(A15,Tuesday!$B$2:$S$60,9,FALSE),IFERROR(VLOOKUP(A15,Wednesday!$B$2:$S$60,9,FALSE),IFERROR(VLOOKUP(A15,Thursday!$B$2:$S$60,9,FALSE),VLOOKUP(A15,Friday!$B$2:$S$60,9,FALSE)))))</f>
        <v/>
      </c>
      <c r="G15" s="226">
        <f ca="1">IFERROR(VLOOKUP(A15,Monday!$B$2:$S$60,10,FALSE),IFERROR(VLOOKUP(A15,Tuesday!$B$2:$S$60,10,FALSE),IFERROR(VLOOKUP(A15,Wednesday!$B$2:$S$60,10,FALSE),IFERROR(VLOOKUP(A15,Thursday!$B$2:$S$60,10,FALSE),VLOOKUP(A15,Friday!$B$2:$S$60,10,FALSE)))))</f>
        <v>0</v>
      </c>
      <c r="H15" s="226">
        <f ca="1">IFERROR(VLOOKUP(A15,Monday!$B$2:$S$60,5,FALSE),IFERROR(VLOOKUP(A15,Tuesday!$B$2:$S$60,5,FALSE),IFERROR(VLOOKUP(A15,Wednesday!$B$2:$S$60,5,FALSE),IFERROR(VLOOKUP(A15,Thursday!$B$2:$S$60,5,FALSE),VLOOKUP(A15,Friday!$B$2:$S$60,5,FALSE)))))</f>
        <v>0</v>
      </c>
      <c r="I15" s="212"/>
      <c r="J15" s="212"/>
      <c r="K15" s="212"/>
      <c r="L15" s="212"/>
      <c r="M15" s="212"/>
    </row>
    <row r="16" spans="1:13" ht="17.25" customHeight="1" x14ac:dyDescent="0.25">
      <c r="A16" s="217" t="str">
        <f ca="1">INDIRECT(""&amp;B3&amp;"!B37")</f>
        <v>001-29</v>
      </c>
      <c r="B16" s="225" t="str">
        <f ca="1">IFERROR(VLOOKUP(A16,Monday!$B$2:$S$60,7,FALSE),IFERROR(VLOOKUP(A16,Tuesday!$B$2:$S$60,7,FALSE),IFERROR(VLOOKUP(A16,Wednesday!$B$2:$S$60,7,FALSE),IFERROR(VLOOKUP(A16,Thursday!$B$2:$S$60,7,FALSE),VLOOKUP(A16,Friday!$B$2:$S$60,7,FALSE)))))</f>
        <v/>
      </c>
      <c r="C16" s="213">
        <f ca="1">IFERROR(VLOOKUP(A16,Monday!$B$2:$S$60,6,FALSE),IFERROR(VLOOKUP(A16,Tuesday!$B$2:$S$60,6,FALSE),IFERROR(VLOOKUP(A16,Wednesday!$B$2:$S$60,6,FALSE),IFERROR(VLOOKUP(A16,Thursday!$B$2:$S$60,6,FALSE),VLOOKUP(A16,Friday!$B$2:$S$60,6,FALSE)))))</f>
        <v>0</v>
      </c>
      <c r="D16" s="213">
        <f ca="1">IFERROR(VLOOKUP(A16,Monday!$B$2:$S$60,11,FALSE),IFERROR(VLOOKUP(A16,Tuesday!$B$2:$S$60,11,FALSE),IFERROR(VLOOKUP(A16,Wednesday!$B$2:$S$60,11,FALSE),IFERROR(VLOOKUP(A16,Thursday!$B$2:$S$60,11,FALSE),VLOOKUP(A16,Friday!$B$2:$S$60,11,FALSE)))))</f>
        <v>0</v>
      </c>
      <c r="E16" s="213">
        <f ca="1">IFERROR(VLOOKUP(A16,Monday!$B$2:$S$60,3,FALSE),IFERROR(VLOOKUP(A16,Tuesday!$B$2:$S$60,3,FALSE),IFERROR(VLOOKUP(A16,Wednesday!$B$2:$S$60,3,FALSE),IFERROR(VLOOKUP(A16,Thursday!$B$2:$S$60,3,FALSE),VLOOKUP(A16,Friday!$B$2:$S$60,3,FALSE)))))</f>
        <v>0</v>
      </c>
      <c r="F16" s="214" t="str">
        <f ca="1">IFERROR(VLOOKUP(A16,Monday!$B$2:$S$60,9,FALSE),IFERROR(VLOOKUP(A16,Tuesday!$B$2:$S$60,9,FALSE),IFERROR(VLOOKUP(A16,Wednesday!$B$2:$S$60,9,FALSE),IFERROR(VLOOKUP(A16,Thursday!$B$2:$S$60,9,FALSE),VLOOKUP(A16,Friday!$B$2:$S$60,9,FALSE)))))</f>
        <v/>
      </c>
      <c r="G16" s="226">
        <f ca="1">IFERROR(VLOOKUP(A16,Monday!$B$2:$S$60,10,FALSE),IFERROR(VLOOKUP(A16,Tuesday!$B$2:$S$60,10,FALSE),IFERROR(VLOOKUP(A16,Wednesday!$B$2:$S$60,10,FALSE),IFERROR(VLOOKUP(A16,Thursday!$B$2:$S$60,10,FALSE),VLOOKUP(A16,Friday!$B$2:$S$60,10,FALSE)))))</f>
        <v>0</v>
      </c>
      <c r="H16" s="226">
        <f ca="1">IFERROR(VLOOKUP(A16,Monday!$B$2:$S$60,5,FALSE),IFERROR(VLOOKUP(A16,Tuesday!$B$2:$S$60,5,FALSE),IFERROR(VLOOKUP(A16,Wednesday!$B$2:$S$60,5,FALSE),IFERROR(VLOOKUP(A16,Thursday!$B$2:$S$60,5,FALSE),VLOOKUP(A16,Friday!$B$2:$S$60,5,FALSE)))))</f>
        <v>0</v>
      </c>
      <c r="I16" s="212"/>
      <c r="J16" s="212"/>
      <c r="K16" s="212"/>
      <c r="L16" s="212"/>
      <c r="M16" s="212"/>
    </row>
    <row r="17" spans="1:13" ht="17.25" customHeight="1" x14ac:dyDescent="0.25">
      <c r="A17" s="217" t="str">
        <f ca="1">INDIRECT(""&amp;B3&amp;"!B38")</f>
        <v>001-30</v>
      </c>
      <c r="B17" s="225" t="str">
        <f ca="1">IFERROR(VLOOKUP(A17,Monday!$B$2:$S$60,7,FALSE),IFERROR(VLOOKUP(A17,Tuesday!$B$2:$S$60,7,FALSE),IFERROR(VLOOKUP(A17,Wednesday!$B$2:$S$60,7,FALSE),IFERROR(VLOOKUP(A17,Thursday!$B$2:$S$60,7,FALSE),VLOOKUP(A17,Friday!$B$2:$S$60,7,FALSE)))))</f>
        <v/>
      </c>
      <c r="C17" s="213">
        <f ca="1">IFERROR(VLOOKUP(A17,Monday!$B$2:$S$60,6,FALSE),IFERROR(VLOOKUP(A17,Tuesday!$B$2:$S$60,6,FALSE),IFERROR(VLOOKUP(A17,Wednesday!$B$2:$S$60,6,FALSE),IFERROR(VLOOKUP(A17,Thursday!$B$2:$S$60,6,FALSE),VLOOKUP(A17,Friday!$B$2:$S$60,6,FALSE)))))</f>
        <v>0</v>
      </c>
      <c r="D17" s="213">
        <f ca="1">IFERROR(VLOOKUP(A17,Monday!$B$2:$S$60,11,FALSE),IFERROR(VLOOKUP(A17,Tuesday!$B$2:$S$60,11,FALSE),IFERROR(VLOOKUP(A17,Wednesday!$B$2:$S$60,11,FALSE),IFERROR(VLOOKUP(A17,Thursday!$B$2:$S$60,11,FALSE),VLOOKUP(A17,Friday!$B$2:$S$60,11,FALSE)))))</f>
        <v>0</v>
      </c>
      <c r="E17" s="213">
        <f ca="1">IFERROR(VLOOKUP(A17,Monday!$B$2:$S$60,3,FALSE),IFERROR(VLOOKUP(A17,Tuesday!$B$2:$S$60,3,FALSE),IFERROR(VLOOKUP(A17,Wednesday!$B$2:$S$60,3,FALSE),IFERROR(VLOOKUP(A17,Thursday!$B$2:$S$60,3,FALSE),VLOOKUP(A17,Friday!$B$2:$S$60,3,FALSE)))))</f>
        <v>0</v>
      </c>
      <c r="F17" s="214" t="str">
        <f ca="1">IFERROR(VLOOKUP(A17,Monday!$B$2:$S$60,9,FALSE),IFERROR(VLOOKUP(A17,Tuesday!$B$2:$S$60,9,FALSE),IFERROR(VLOOKUP(A17,Wednesday!$B$2:$S$60,9,FALSE),IFERROR(VLOOKUP(A17,Thursday!$B$2:$S$60,9,FALSE),VLOOKUP(A17,Friday!$B$2:$S$60,9,FALSE)))))</f>
        <v/>
      </c>
      <c r="G17" s="226">
        <f ca="1">IFERROR(VLOOKUP(A17,Monday!$B$2:$S$60,10,FALSE),IFERROR(VLOOKUP(A17,Tuesday!$B$2:$S$60,10,FALSE),IFERROR(VLOOKUP(A17,Wednesday!$B$2:$S$60,10,FALSE),IFERROR(VLOOKUP(A17,Thursday!$B$2:$S$60,10,FALSE),VLOOKUP(A17,Friday!$B$2:$S$60,10,FALSE)))))</f>
        <v>0</v>
      </c>
      <c r="H17" s="226">
        <f ca="1">IFERROR(VLOOKUP(A17,Monday!$B$2:$S$60,5,FALSE),IFERROR(VLOOKUP(A17,Tuesday!$B$2:$S$60,5,FALSE),IFERROR(VLOOKUP(A17,Wednesday!$B$2:$S$60,5,FALSE),IFERROR(VLOOKUP(A17,Thursday!$B$2:$S$60,5,FALSE),VLOOKUP(A17,Friday!$B$2:$S$60,5,FALSE)))))</f>
        <v>0</v>
      </c>
      <c r="I17" s="212"/>
      <c r="J17" s="212"/>
      <c r="K17" s="212"/>
      <c r="L17" s="212"/>
      <c r="M17" s="212"/>
    </row>
    <row r="18" spans="1:13" ht="17.25" customHeight="1" x14ac:dyDescent="0.25">
      <c r="A18" s="217" t="str">
        <f ca="1">INDIRECT(""&amp;B3&amp;"!B39")</f>
        <v>001-31</v>
      </c>
      <c r="B18" s="225" t="str">
        <f ca="1">IFERROR(VLOOKUP(A18,Monday!$B$2:$S$60,7,FALSE),IFERROR(VLOOKUP(A18,Tuesday!$B$2:$S$60,7,FALSE),IFERROR(VLOOKUP(A18,Wednesday!$B$2:$S$60,7,FALSE),IFERROR(VLOOKUP(A18,Thursday!$B$2:$S$60,7,FALSE),VLOOKUP(A18,Friday!$B$2:$S$60,7,FALSE)))))</f>
        <v/>
      </c>
      <c r="C18" s="213">
        <f ca="1">IFERROR(VLOOKUP(A18,Monday!$B$2:$S$60,6,FALSE),IFERROR(VLOOKUP(A18,Tuesday!$B$2:$S$60,6,FALSE),IFERROR(VLOOKUP(A18,Wednesday!$B$2:$S$60,6,FALSE),IFERROR(VLOOKUP(A18,Thursday!$B$2:$S$60,6,FALSE),VLOOKUP(A18,Friday!$B$2:$S$60,6,FALSE)))))</f>
        <v>0</v>
      </c>
      <c r="D18" s="213">
        <f ca="1">IFERROR(VLOOKUP(A18,Monday!$B$2:$S$60,11,FALSE),IFERROR(VLOOKUP(A18,Tuesday!$B$2:$S$60,11,FALSE),IFERROR(VLOOKUP(A18,Wednesday!$B$2:$S$60,11,FALSE),IFERROR(VLOOKUP(A18,Thursday!$B$2:$S$60,11,FALSE),VLOOKUP(A18,Friday!$B$2:$S$60,11,FALSE)))))</f>
        <v>0</v>
      </c>
      <c r="E18" s="213">
        <f ca="1">IFERROR(VLOOKUP(A18,Monday!$B$2:$S$60,3,FALSE),IFERROR(VLOOKUP(A18,Tuesday!$B$2:$S$60,3,FALSE),IFERROR(VLOOKUP(A18,Wednesday!$B$2:$S$60,3,FALSE),IFERROR(VLOOKUP(A18,Thursday!$B$2:$S$60,3,FALSE),VLOOKUP(A18,Friday!$B$2:$S$60,3,FALSE)))))</f>
        <v>0</v>
      </c>
      <c r="F18" s="214" t="str">
        <f ca="1">IFERROR(VLOOKUP(A18,Monday!$B$2:$S$60,9,FALSE),IFERROR(VLOOKUP(A18,Tuesday!$B$2:$S$60,9,FALSE),IFERROR(VLOOKUP(A18,Wednesday!$B$2:$S$60,9,FALSE),IFERROR(VLOOKUP(A18,Thursday!$B$2:$S$60,9,FALSE),VLOOKUP(A18,Friday!$B$2:$S$60,9,FALSE)))))</f>
        <v/>
      </c>
      <c r="G18" s="226">
        <f ca="1">IFERROR(VLOOKUP(A18,Monday!$B$2:$S$60,10,FALSE),IFERROR(VLOOKUP(A18,Tuesday!$B$2:$S$60,10,FALSE),IFERROR(VLOOKUP(A18,Wednesday!$B$2:$S$60,10,FALSE),IFERROR(VLOOKUP(A18,Thursday!$B$2:$S$60,10,FALSE),VLOOKUP(A18,Friday!$B$2:$S$60,10,FALSE)))))</f>
        <v>0</v>
      </c>
      <c r="H18" s="226">
        <f ca="1">IFERROR(VLOOKUP(A18,Monday!$B$2:$S$60,5,FALSE),IFERROR(VLOOKUP(A18,Tuesday!$B$2:$S$60,5,FALSE),IFERROR(VLOOKUP(A18,Wednesday!$B$2:$S$60,5,FALSE),IFERROR(VLOOKUP(A18,Thursday!$B$2:$S$60,5,FALSE),VLOOKUP(A18,Friday!$B$2:$S$60,5,FALSE)))))</f>
        <v>0</v>
      </c>
      <c r="I18" s="212"/>
      <c r="J18" s="212"/>
      <c r="K18" s="212"/>
      <c r="L18" s="212"/>
      <c r="M18" s="212"/>
    </row>
    <row r="19" spans="1:13" ht="17.25" customHeight="1" x14ac:dyDescent="0.25">
      <c r="A19" s="217" t="str">
        <f ca="1">INDIRECT(""&amp;B3&amp;"!B40")</f>
        <v>001-32</v>
      </c>
      <c r="B19" s="225" t="str">
        <f ca="1">IFERROR(VLOOKUP(A19,Monday!$B$2:$S$60,7,FALSE),IFERROR(VLOOKUP(A19,Tuesday!$B$2:$S$60,7,FALSE),IFERROR(VLOOKUP(A19,Wednesday!$B$2:$S$60,7,FALSE),IFERROR(VLOOKUP(A19,Thursday!$B$2:$S$60,7,FALSE),VLOOKUP(A19,Friday!$B$2:$S$60,7,FALSE)))))</f>
        <v/>
      </c>
      <c r="C19" s="213">
        <f ca="1">IFERROR(VLOOKUP(A19,Monday!$B$2:$S$60,6,FALSE),IFERROR(VLOOKUP(A19,Tuesday!$B$2:$S$60,6,FALSE),IFERROR(VLOOKUP(A19,Wednesday!$B$2:$S$60,6,FALSE),IFERROR(VLOOKUP(A19,Thursday!$B$2:$S$60,6,FALSE),VLOOKUP(A19,Friday!$B$2:$S$60,6,FALSE)))))</f>
        <v>0</v>
      </c>
      <c r="D19" s="213">
        <f ca="1">IFERROR(VLOOKUP(A19,Monday!$B$2:$S$60,11,FALSE),IFERROR(VLOOKUP(A19,Tuesday!$B$2:$S$60,11,FALSE),IFERROR(VLOOKUP(A19,Wednesday!$B$2:$S$60,11,FALSE),IFERROR(VLOOKUP(A19,Thursday!$B$2:$S$60,11,FALSE),VLOOKUP(A19,Friday!$B$2:$S$60,11,FALSE)))))</f>
        <v>0</v>
      </c>
      <c r="E19" s="213">
        <f ca="1">IFERROR(VLOOKUP(A19,Monday!$B$2:$S$60,3,FALSE),IFERROR(VLOOKUP(A19,Tuesday!$B$2:$S$60,3,FALSE),IFERROR(VLOOKUP(A19,Wednesday!$B$2:$S$60,3,FALSE),IFERROR(VLOOKUP(A19,Thursday!$B$2:$S$60,3,FALSE),VLOOKUP(A19,Friday!$B$2:$S$60,3,FALSE)))))</f>
        <v>0</v>
      </c>
      <c r="F19" s="214" t="str">
        <f ca="1">IFERROR(VLOOKUP(A19,Monday!$B$2:$S$60,9,FALSE),IFERROR(VLOOKUP(A19,Tuesday!$B$2:$S$60,9,FALSE),IFERROR(VLOOKUP(A19,Wednesday!$B$2:$S$60,9,FALSE),IFERROR(VLOOKUP(A19,Thursday!$B$2:$S$60,9,FALSE),VLOOKUP(A19,Friday!$B$2:$S$60,9,FALSE)))))</f>
        <v/>
      </c>
      <c r="G19" s="226">
        <f ca="1">IFERROR(VLOOKUP(A19,Monday!$B$2:$S$60,10,FALSE),IFERROR(VLOOKUP(A19,Tuesday!$B$2:$S$60,10,FALSE),IFERROR(VLOOKUP(A19,Wednesday!$B$2:$S$60,10,FALSE),IFERROR(VLOOKUP(A19,Thursday!$B$2:$S$60,10,FALSE),VLOOKUP(A19,Friday!$B$2:$S$60,10,FALSE)))))</f>
        <v>0</v>
      </c>
      <c r="H19" s="226">
        <f ca="1">IFERROR(VLOOKUP(A19,Monday!$B$2:$S$60,5,FALSE),IFERROR(VLOOKUP(A19,Tuesday!$B$2:$S$60,5,FALSE),IFERROR(VLOOKUP(A19,Wednesday!$B$2:$S$60,5,FALSE),IFERROR(VLOOKUP(A19,Thursday!$B$2:$S$60,5,FALSE),VLOOKUP(A19,Friday!$B$2:$S$60,5,FALSE)))))</f>
        <v>0</v>
      </c>
      <c r="I19" s="212"/>
      <c r="J19" s="212"/>
      <c r="K19" s="212"/>
      <c r="L19" s="212"/>
      <c r="M19" s="212"/>
    </row>
    <row r="20" spans="1:13" ht="17.25" customHeight="1" x14ac:dyDescent="0.25">
      <c r="A20" s="217" t="str">
        <f ca="1">INDIRECT(""&amp;B3&amp;"!B41")</f>
        <v>001-33</v>
      </c>
      <c r="B20" s="225" t="str">
        <f ca="1">IFERROR(VLOOKUP(A20,Monday!$B$2:$S$60,7,FALSE),IFERROR(VLOOKUP(A20,Tuesday!$B$2:$S$60,7,FALSE),IFERROR(VLOOKUP(A20,Wednesday!$B$2:$S$60,7,FALSE),IFERROR(VLOOKUP(A20,Thursday!$B$2:$S$60,7,FALSE),VLOOKUP(A20,Friday!$B$2:$S$60,7,FALSE)))))</f>
        <v/>
      </c>
      <c r="C20" s="213">
        <f ca="1">IFERROR(VLOOKUP(A20,Monday!$B$2:$S$60,6,FALSE),IFERROR(VLOOKUP(A20,Tuesday!$B$2:$S$60,6,FALSE),IFERROR(VLOOKUP(A20,Wednesday!$B$2:$S$60,6,FALSE),IFERROR(VLOOKUP(A20,Thursday!$B$2:$S$60,6,FALSE),VLOOKUP(A20,Friday!$B$2:$S$60,6,FALSE)))))</f>
        <v>0</v>
      </c>
      <c r="D20" s="213">
        <f ca="1">IFERROR(VLOOKUP(A20,Monday!$B$2:$S$60,11,FALSE),IFERROR(VLOOKUP(A20,Tuesday!$B$2:$S$60,11,FALSE),IFERROR(VLOOKUP(A20,Wednesday!$B$2:$S$60,11,FALSE),IFERROR(VLOOKUP(A20,Thursday!$B$2:$S$60,11,FALSE),VLOOKUP(A20,Friday!$B$2:$S$60,11,FALSE)))))</f>
        <v>0</v>
      </c>
      <c r="E20" s="213">
        <f ca="1">IFERROR(VLOOKUP(A20,Monday!$B$2:$S$60,3,FALSE),IFERROR(VLOOKUP(A20,Tuesday!$B$2:$S$60,3,FALSE),IFERROR(VLOOKUP(A20,Wednesday!$B$2:$S$60,3,FALSE),IFERROR(VLOOKUP(A20,Thursday!$B$2:$S$60,3,FALSE),VLOOKUP(A20,Friday!$B$2:$S$60,3,FALSE)))))</f>
        <v>0</v>
      </c>
      <c r="F20" s="214" t="str">
        <f ca="1">IFERROR(VLOOKUP(A20,Monday!$B$2:$S$60,9,FALSE),IFERROR(VLOOKUP(A20,Tuesday!$B$2:$S$60,9,FALSE),IFERROR(VLOOKUP(A20,Wednesday!$B$2:$S$60,9,FALSE),IFERROR(VLOOKUP(A20,Thursday!$B$2:$S$60,9,FALSE),VLOOKUP(A20,Friday!$B$2:$S$60,9,FALSE)))))</f>
        <v/>
      </c>
      <c r="G20" s="226">
        <f ca="1">IFERROR(VLOOKUP(A20,Monday!$B$2:$S$60,10,FALSE),IFERROR(VLOOKUP(A20,Tuesday!$B$2:$S$60,10,FALSE),IFERROR(VLOOKUP(A20,Wednesday!$B$2:$S$60,10,FALSE),IFERROR(VLOOKUP(A20,Thursday!$B$2:$S$60,10,FALSE),VLOOKUP(A20,Friday!$B$2:$S$60,10,FALSE)))))</f>
        <v>0</v>
      </c>
      <c r="H20" s="226">
        <f ca="1">IFERROR(VLOOKUP(A20,Monday!$B$2:$S$60,5,FALSE),IFERROR(VLOOKUP(A20,Tuesday!$B$2:$S$60,5,FALSE),IFERROR(VLOOKUP(A20,Wednesday!$B$2:$S$60,5,FALSE),IFERROR(VLOOKUP(A20,Thursday!$B$2:$S$60,5,FALSE),VLOOKUP(A20,Friday!$B$2:$S$60,5,FALSE)))))</f>
        <v>0</v>
      </c>
      <c r="I20" s="212"/>
      <c r="J20" s="212"/>
      <c r="K20" s="212"/>
      <c r="L20" s="212"/>
      <c r="M20" s="212"/>
    </row>
    <row r="21" spans="1:13" ht="17.25" customHeight="1" x14ac:dyDescent="0.25">
      <c r="A21" s="217" t="str">
        <f ca="1">INDIRECT(""&amp;B3&amp;"!B42")</f>
        <v>001-34</v>
      </c>
      <c r="B21" s="225" t="str">
        <f ca="1">IFERROR(VLOOKUP(A21,Monday!$B$2:$S$60,7,FALSE),IFERROR(VLOOKUP(A21,Tuesday!$B$2:$S$60,7,FALSE),IFERROR(VLOOKUP(A21,Wednesday!$B$2:$S$60,7,FALSE),IFERROR(VLOOKUP(A21,Thursday!$B$2:$S$60,7,FALSE),VLOOKUP(A21,Friday!$B$2:$S$60,7,FALSE)))))</f>
        <v/>
      </c>
      <c r="C21" s="213">
        <f ca="1">IFERROR(VLOOKUP(A21,Monday!$B$2:$S$60,6,FALSE),IFERROR(VLOOKUP(A21,Tuesday!$B$2:$S$60,6,FALSE),IFERROR(VLOOKUP(A21,Wednesday!$B$2:$S$60,6,FALSE),IFERROR(VLOOKUP(A21,Thursday!$B$2:$S$60,6,FALSE),VLOOKUP(A21,Friday!$B$2:$S$60,6,FALSE)))))</f>
        <v>0</v>
      </c>
      <c r="D21" s="213">
        <f ca="1">IFERROR(VLOOKUP(A21,Monday!$B$2:$S$60,11,FALSE),IFERROR(VLOOKUP(A21,Tuesday!$B$2:$S$60,11,FALSE),IFERROR(VLOOKUP(A21,Wednesday!$B$2:$S$60,11,FALSE),IFERROR(VLOOKUP(A21,Thursday!$B$2:$S$60,11,FALSE),VLOOKUP(A21,Friday!$B$2:$S$60,11,FALSE)))))</f>
        <v>0</v>
      </c>
      <c r="E21" s="213">
        <f ca="1">IFERROR(VLOOKUP(A21,Monday!$B$2:$S$60,3,FALSE),IFERROR(VLOOKUP(A21,Tuesday!$B$2:$S$60,3,FALSE),IFERROR(VLOOKUP(A21,Wednesday!$B$2:$S$60,3,FALSE),IFERROR(VLOOKUP(A21,Thursday!$B$2:$S$60,3,FALSE),VLOOKUP(A21,Friday!$B$2:$S$60,3,FALSE)))))</f>
        <v>0</v>
      </c>
      <c r="F21" s="214" t="str">
        <f ca="1">IFERROR(VLOOKUP(A21,Monday!$B$2:$S$60,9,FALSE),IFERROR(VLOOKUP(A21,Tuesday!$B$2:$S$60,9,FALSE),IFERROR(VLOOKUP(A21,Wednesday!$B$2:$S$60,9,FALSE),IFERROR(VLOOKUP(A21,Thursday!$B$2:$S$60,9,FALSE),VLOOKUP(A21,Friday!$B$2:$S$60,9,FALSE)))))</f>
        <v/>
      </c>
      <c r="G21" s="226">
        <f ca="1">IFERROR(VLOOKUP(A21,Monday!$B$2:$S$60,10,FALSE),IFERROR(VLOOKUP(A21,Tuesday!$B$2:$S$60,10,FALSE),IFERROR(VLOOKUP(A21,Wednesday!$B$2:$S$60,10,FALSE),IFERROR(VLOOKUP(A21,Thursday!$B$2:$S$60,10,FALSE),VLOOKUP(A21,Friday!$B$2:$S$60,10,FALSE)))))</f>
        <v>0</v>
      </c>
      <c r="H21" s="226">
        <f ca="1">IFERROR(VLOOKUP(A21,Monday!$B$2:$S$60,5,FALSE),IFERROR(VLOOKUP(A21,Tuesday!$B$2:$S$60,5,FALSE),IFERROR(VLOOKUP(A21,Wednesday!$B$2:$S$60,5,FALSE),IFERROR(VLOOKUP(A21,Thursday!$B$2:$S$60,5,FALSE),VLOOKUP(A21,Friday!$B$2:$S$60,5,FALSE)))))</f>
        <v>0</v>
      </c>
      <c r="I21" s="212"/>
      <c r="J21" s="212"/>
      <c r="K21" s="212"/>
      <c r="L21" s="212"/>
      <c r="M21" s="212"/>
    </row>
    <row r="22" spans="1:13" ht="17.25" customHeight="1" x14ac:dyDescent="0.25">
      <c r="A22" s="217" t="str">
        <f ca="1">INDIRECT(""&amp;B3&amp;"!B43")</f>
        <v>001-35</v>
      </c>
      <c r="B22" s="225">
        <f ca="1">IFERROR(VLOOKUP(A22,Monday!$B$2:$S$60,7,FALSE),IFERROR(VLOOKUP(A22,Tuesday!$B$2:$S$60,7,FALSE),IFERROR(VLOOKUP(A22,Wednesday!$B$2:$S$60,7,FALSE),IFERROR(VLOOKUP(A22,Thursday!$B$2:$S$60,7,FALSE),VLOOKUP(A22,Friday!$B$2:$S$60,7,FALSE)))))</f>
        <v>0</v>
      </c>
      <c r="C22" s="213">
        <f ca="1">IFERROR(VLOOKUP(A22,Monday!$B$2:$S$60,6,FALSE),IFERROR(VLOOKUP(A22,Tuesday!$B$2:$S$60,6,FALSE),IFERROR(VLOOKUP(A22,Wednesday!$B$2:$S$60,6,FALSE),IFERROR(VLOOKUP(A22,Thursday!$B$2:$S$60,6,FALSE),VLOOKUP(A22,Friday!$B$2:$S$60,6,FALSE)))))</f>
        <v>0</v>
      </c>
      <c r="D22" s="213">
        <f ca="1">IFERROR(VLOOKUP(A22,Monday!$B$2:$S$60,11,FALSE),IFERROR(VLOOKUP(A22,Tuesday!$B$2:$S$60,11,FALSE),IFERROR(VLOOKUP(A22,Wednesday!$B$2:$S$60,11,FALSE),IFERROR(VLOOKUP(A22,Thursday!$B$2:$S$60,11,FALSE),VLOOKUP(A22,Friday!$B$2:$S$60,11,FALSE)))))</f>
        <v>0</v>
      </c>
      <c r="E22" s="213">
        <f ca="1">IFERROR(VLOOKUP(A22,Monday!$B$2:$S$60,3,FALSE),IFERROR(VLOOKUP(A22,Tuesday!$B$2:$S$60,3,FALSE),IFERROR(VLOOKUP(A22,Wednesday!$B$2:$S$60,3,FALSE),IFERROR(VLOOKUP(A22,Thursday!$B$2:$S$60,3,FALSE),VLOOKUP(A22,Friday!$B$2:$S$60,3,FALSE)))))</f>
        <v>0</v>
      </c>
      <c r="F22" s="214" t="str">
        <f ca="1">IFERROR(VLOOKUP(A22,Monday!$B$2:$S$60,9,FALSE),IFERROR(VLOOKUP(A22,Tuesday!$B$2:$S$60,9,FALSE),IFERROR(VLOOKUP(A22,Wednesday!$B$2:$S$60,9,FALSE),IFERROR(VLOOKUP(A22,Thursday!$B$2:$S$60,9,FALSE),VLOOKUP(A22,Friday!$B$2:$S$60,9,FALSE)))))</f>
        <v/>
      </c>
      <c r="G22" s="226">
        <f ca="1">IFERROR(VLOOKUP(A22,Monday!$B$2:$S$60,10,FALSE),IFERROR(VLOOKUP(A22,Tuesday!$B$2:$S$60,10,FALSE),IFERROR(VLOOKUP(A22,Wednesday!$B$2:$S$60,10,FALSE),IFERROR(VLOOKUP(A22,Thursday!$B$2:$S$60,10,FALSE),VLOOKUP(A22,Friday!$B$2:$S$60,10,FALSE)))))</f>
        <v>0</v>
      </c>
      <c r="H22" s="226">
        <f ca="1">IFERROR(VLOOKUP(A22,Monday!$B$2:$S$60,5,FALSE),IFERROR(VLOOKUP(A22,Tuesday!$B$2:$S$60,5,FALSE),IFERROR(VLOOKUP(A22,Wednesday!$B$2:$S$60,5,FALSE),IFERROR(VLOOKUP(A22,Thursday!$B$2:$S$60,5,FALSE),VLOOKUP(A22,Friday!$B$2:$S$60,5,FALSE)))))</f>
        <v>0</v>
      </c>
      <c r="I22" s="212"/>
      <c r="J22" s="212"/>
      <c r="K22" s="212"/>
      <c r="L22" s="212"/>
      <c r="M22" s="212"/>
    </row>
    <row r="23" spans="1:13" ht="17.25" customHeight="1" thickBot="1" x14ac:dyDescent="0.3">
      <c r="A23" s="218" t="str">
        <f ca="1">INDIRECT(""&amp;B3&amp;"!B44")</f>
        <v>001-36</v>
      </c>
      <c r="B23" s="225">
        <f ca="1">IFERROR(VLOOKUP(A23,Monday!$B$2:$S$60,7,FALSE),IFERROR(VLOOKUP(A23,Tuesday!$B$2:$S$60,7,FALSE),IFERROR(VLOOKUP(A23,Wednesday!$B$2:$S$60,7,FALSE),IFERROR(VLOOKUP(A23,Thursday!$B$2:$S$60,7,FALSE),VLOOKUP(A23,Friday!$B$2:$S$60,7,FALSE)))))</f>
        <v>0</v>
      </c>
      <c r="C23" s="213">
        <f ca="1">IFERROR(VLOOKUP(A23,Monday!$B$2:$S$60,6,FALSE),IFERROR(VLOOKUP(A23,Tuesday!$B$2:$S$60,6,FALSE),IFERROR(VLOOKUP(A23,Wednesday!$B$2:$S$60,6,FALSE),IFERROR(VLOOKUP(A23,Thursday!$B$2:$S$60,6,FALSE),VLOOKUP(A23,Friday!$B$2:$S$60,6,FALSE)))))</f>
        <v>0</v>
      </c>
      <c r="D23" s="213">
        <f ca="1">IFERROR(VLOOKUP(A23,Monday!$B$2:$S$60,11,FALSE),IFERROR(VLOOKUP(A23,Tuesday!$B$2:$S$60,11,FALSE),IFERROR(VLOOKUP(A23,Wednesday!$B$2:$S$60,11,FALSE),IFERROR(VLOOKUP(A23,Thursday!$B$2:$S$60,11,FALSE),VLOOKUP(A23,Friday!$B$2:$S$60,11,FALSE)))))</f>
        <v>0</v>
      </c>
      <c r="E23" s="213">
        <f ca="1">IFERROR(VLOOKUP(A23,Monday!$B$2:$S$60,3,FALSE),IFERROR(VLOOKUP(A23,Tuesday!$B$2:$S$60,3,FALSE),IFERROR(VLOOKUP(A23,Wednesday!$B$2:$S$60,3,FALSE),IFERROR(VLOOKUP(A23,Thursday!$B$2:$S$60,3,FALSE),VLOOKUP(A23,Friday!$B$2:$S$60,3,FALSE)))))</f>
        <v>0</v>
      </c>
      <c r="F23" s="214" t="str">
        <f ca="1">IFERROR(VLOOKUP(A23,Monday!$B$2:$S$60,9,FALSE),IFERROR(VLOOKUP(A23,Tuesday!$B$2:$S$60,9,FALSE),IFERROR(VLOOKUP(A23,Wednesday!$B$2:$S$60,9,FALSE),IFERROR(VLOOKUP(A23,Thursday!$B$2:$S$60,9,FALSE),VLOOKUP(A23,Friday!$B$2:$S$60,9,FALSE)))))</f>
        <v/>
      </c>
      <c r="G23" s="226">
        <f ca="1">IFERROR(VLOOKUP(A23,Monday!$B$2:$S$60,10,FALSE),IFERROR(VLOOKUP(A23,Tuesday!$B$2:$S$60,10,FALSE),IFERROR(VLOOKUP(A23,Wednesday!$B$2:$S$60,10,FALSE),IFERROR(VLOOKUP(A23,Thursday!$B$2:$S$60,10,FALSE),VLOOKUP(A23,Friday!$B$2:$S$60,10,FALSE)))))</f>
        <v>0</v>
      </c>
      <c r="H23" s="226">
        <f ca="1">IFERROR(VLOOKUP(A23,Monday!$B$2:$S$60,5,FALSE),IFERROR(VLOOKUP(A23,Tuesday!$B$2:$S$60,5,FALSE),IFERROR(VLOOKUP(A23,Wednesday!$B$2:$S$60,5,FALSE),IFERROR(VLOOKUP(A23,Thursday!$B$2:$S$60,5,FALSE),VLOOKUP(A23,Friday!$B$2:$S$60,5,FALSE)))))</f>
        <v>0</v>
      </c>
      <c r="I23" s="212"/>
      <c r="J23" s="212"/>
      <c r="K23" s="212"/>
      <c r="L23" s="212"/>
      <c r="M23" s="212"/>
    </row>
    <row r="24" spans="1:13" ht="27" customHeight="1" thickBot="1" x14ac:dyDescent="0.3">
      <c r="A24" s="219"/>
      <c r="B24" s="227"/>
      <c r="C24" s="206"/>
      <c r="D24" s="206"/>
      <c r="E24" s="206"/>
      <c r="F24" s="206"/>
      <c r="G24" s="207"/>
      <c r="H24" s="261"/>
      <c r="I24" s="212"/>
      <c r="J24" s="212"/>
      <c r="K24" s="212"/>
      <c r="L24" s="212"/>
      <c r="M24" s="212"/>
    </row>
    <row r="25" spans="1:13" ht="27" customHeight="1" thickBot="1" x14ac:dyDescent="0.3">
      <c r="A25" s="220"/>
      <c r="B25" s="228"/>
      <c r="C25" s="230"/>
      <c r="D25" s="229">
        <f ca="1">SUM(D6:D23)</f>
        <v>0</v>
      </c>
      <c r="E25" s="230"/>
      <c r="F25" s="208"/>
      <c r="G25" s="209"/>
      <c r="H25" s="209"/>
      <c r="I25" s="212"/>
      <c r="J25" s="212"/>
      <c r="K25" s="212"/>
      <c r="L25" s="212"/>
      <c r="M25" s="212"/>
    </row>
    <row r="26" spans="1:13" ht="27" customHeight="1" x14ac:dyDescent="0.25">
      <c r="A26" s="203"/>
    </row>
  </sheetData>
  <sheetProtection selectLockedCells="1" selectUnlockedCells="1"/>
  <mergeCells count="2">
    <mergeCell ref="H2:H4"/>
    <mergeCell ref="C2:F4"/>
  </mergeCells>
  <conditionalFormatting sqref="F1">
    <cfRule type="cellIs" dxfId="6" priority="1" stopIfTrue="1" operator="greaterThan">
      <formula>0.5</formula>
    </cfRule>
  </conditionalFormatting>
  <pageMargins left="0.25" right="0.25" top="0.75" bottom="0.75" header="0.3" footer="0.3"/>
  <pageSetup paperSize="9" scale="98" fitToWidth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25183C-C424-4D31-A879-DEEC3E7698D9}">
          <x14:formula1>
            <xm:f>'Reference List'!$J$11:$J$15</xm:f>
          </x14:formula1>
          <xm:sqref>B3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fitToPage="1"/>
  </sheetPr>
  <dimension ref="A1:BG104"/>
  <sheetViews>
    <sheetView showRuler="0" zoomScale="50" zoomScaleNormal="50" workbookViewId="0">
      <selection activeCell="AA2" sqref="AA2"/>
    </sheetView>
  </sheetViews>
  <sheetFormatPr defaultColWidth="9.140625" defaultRowHeight="12.75" x14ac:dyDescent="0.2"/>
  <cols>
    <col min="1" max="1" width="5.5703125" style="1" customWidth="1"/>
    <col min="2" max="2" width="5.42578125" style="12" customWidth="1"/>
    <col min="3" max="3" width="11.42578125" style="12" bestFit="1" customWidth="1"/>
    <col min="4" max="4" width="13.5703125" style="12" customWidth="1"/>
    <col min="5" max="5" width="14.140625" style="12" customWidth="1"/>
    <col min="6" max="6" width="16.28515625" style="12" bestFit="1" customWidth="1"/>
    <col min="7" max="7" width="40.5703125" style="51" customWidth="1"/>
    <col min="8" max="8" width="49.42578125" style="12" bestFit="1" customWidth="1"/>
    <col min="9" max="9" width="11.85546875" style="12" customWidth="1"/>
    <col min="10" max="10" width="16.85546875" style="52" customWidth="1"/>
    <col min="11" max="11" width="9.7109375" style="12" customWidth="1"/>
    <col min="12" max="12" width="5.28515625" style="53" customWidth="1"/>
    <col min="13" max="13" width="7.7109375" style="53" customWidth="1"/>
    <col min="14" max="15" width="5.28515625" style="53" customWidth="1"/>
    <col min="16" max="16" width="8.42578125" style="53" customWidth="1"/>
    <col min="17" max="17" width="12.140625" style="53" customWidth="1"/>
    <col min="18" max="18" width="16.28515625" style="53" customWidth="1"/>
    <col min="19" max="20" width="15.42578125" style="12" customWidth="1"/>
    <col min="21" max="21" width="9.140625" style="11"/>
    <col min="22" max="16384" width="9.140625" style="12"/>
  </cols>
  <sheetData>
    <row r="1" spans="1:59" s="1" customFormat="1" ht="13.5" thickBot="1" x14ac:dyDescent="0.25">
      <c r="G1" s="2"/>
      <c r="J1" s="3"/>
      <c r="L1" s="4"/>
      <c r="M1" s="4"/>
      <c r="N1" s="4"/>
      <c r="O1" s="4"/>
      <c r="P1" s="4"/>
      <c r="Q1" s="4"/>
      <c r="R1" s="4"/>
      <c r="U1" s="5"/>
    </row>
    <row r="2" spans="1:59" ht="75" customHeight="1" thickBot="1" x14ac:dyDescent="0.55000000000000004">
      <c r="B2" s="6"/>
      <c r="C2" s="7"/>
      <c r="D2" s="7"/>
      <c r="E2" s="7"/>
      <c r="F2" s="7"/>
      <c r="G2" s="7" t="s">
        <v>0</v>
      </c>
      <c r="H2" s="7"/>
      <c r="I2" s="7"/>
      <c r="J2" s="8" t="s">
        <v>1</v>
      </c>
      <c r="K2" s="7"/>
      <c r="L2" s="345">
        <v>41327</v>
      </c>
      <c r="M2" s="345"/>
      <c r="N2" s="345"/>
      <c r="O2" s="345"/>
      <c r="P2" s="345"/>
      <c r="Q2" s="345"/>
      <c r="R2" s="9"/>
      <c r="S2" s="9"/>
      <c r="T2" s="10"/>
    </row>
    <row r="3" spans="1:59" s="15" customFormat="1" ht="25.5" x14ac:dyDescent="0.2">
      <c r="A3" s="13"/>
      <c r="B3" s="92"/>
      <c r="C3" s="93" t="s">
        <v>2</v>
      </c>
      <c r="D3" s="93" t="s">
        <v>3</v>
      </c>
      <c r="E3" s="92" t="s">
        <v>4</v>
      </c>
      <c r="F3" s="94" t="s">
        <v>5</v>
      </c>
      <c r="G3" s="95" t="s">
        <v>6</v>
      </c>
      <c r="H3" s="94" t="s">
        <v>7</v>
      </c>
      <c r="I3" s="96" t="s">
        <v>8</v>
      </c>
      <c r="J3" s="97" t="s">
        <v>9</v>
      </c>
      <c r="K3" s="94" t="s">
        <v>10</v>
      </c>
      <c r="L3" s="98" t="s">
        <v>11</v>
      </c>
      <c r="M3" s="98" t="s">
        <v>12</v>
      </c>
      <c r="N3" s="98" t="s">
        <v>13</v>
      </c>
      <c r="O3" s="98" t="s">
        <v>14</v>
      </c>
      <c r="P3" s="98" t="s">
        <v>15</v>
      </c>
      <c r="Q3" s="98" t="s">
        <v>16</v>
      </c>
      <c r="R3" s="94" t="s">
        <v>17</v>
      </c>
      <c r="S3" s="94" t="s">
        <v>18</v>
      </c>
      <c r="T3" s="96" t="s">
        <v>19</v>
      </c>
      <c r="U3" s="14"/>
    </row>
    <row r="4" spans="1:59" s="22" customFormat="1" ht="15" x14ac:dyDescent="0.25">
      <c r="A4" s="16"/>
      <c r="B4" s="49">
        <v>1</v>
      </c>
      <c r="C4" s="30" t="str">
        <f>CONCATENATE(D4,"-",B4)</f>
        <v>41327-1</v>
      </c>
      <c r="D4" s="88">
        <f>+$L$2</f>
        <v>41327</v>
      </c>
      <c r="E4" s="17"/>
      <c r="F4" s="17"/>
      <c r="G4" s="18"/>
      <c r="H4" s="19" t="str">
        <f>IF(G4="","",(VLOOKUP(G4,'Reference List'!$B$4:$D$166,2,FALSE)))</f>
        <v/>
      </c>
      <c r="I4" s="99"/>
      <c r="J4" s="24"/>
      <c r="K4" s="20"/>
      <c r="L4" s="17"/>
      <c r="M4" s="17"/>
      <c r="N4" s="17"/>
      <c r="O4" s="17"/>
      <c r="P4" s="17"/>
      <c r="Q4" s="17"/>
      <c r="R4" s="17"/>
      <c r="S4" s="17"/>
      <c r="T4" s="17"/>
      <c r="U4" s="21"/>
    </row>
    <row r="5" spans="1:59" s="22" customFormat="1" ht="15" x14ac:dyDescent="0.25">
      <c r="A5" s="16"/>
      <c r="B5" s="49">
        <v>2</v>
      </c>
      <c r="C5" s="30" t="str">
        <f t="shared" ref="C5:C49" si="0">CONCATENATE(D5,"-",B5)</f>
        <v>41327-2</v>
      </c>
      <c r="D5" s="88">
        <f t="shared" ref="D5:D68" si="1">+$L$2</f>
        <v>41327</v>
      </c>
      <c r="E5" s="17"/>
      <c r="F5" s="17"/>
      <c r="G5" s="18"/>
      <c r="H5" s="19" t="str">
        <f>IF(G5="","",(VLOOKUP(G5,'Reference List'!$B$4:$D$166,2,FALSE)))</f>
        <v/>
      </c>
      <c r="I5" s="23"/>
      <c r="J5" s="17"/>
      <c r="K5" s="20"/>
      <c r="L5" s="17"/>
      <c r="M5" s="17"/>
      <c r="N5" s="17"/>
      <c r="O5" s="17"/>
      <c r="P5" s="17"/>
      <c r="Q5" s="17"/>
      <c r="R5" s="17"/>
      <c r="S5" s="17"/>
      <c r="T5" s="17"/>
      <c r="U5" s="21"/>
    </row>
    <row r="6" spans="1:59" s="22" customFormat="1" ht="15" x14ac:dyDescent="0.25">
      <c r="A6" s="16"/>
      <c r="B6" s="49">
        <v>3</v>
      </c>
      <c r="C6" s="30" t="str">
        <f t="shared" si="0"/>
        <v>41327-3</v>
      </c>
      <c r="D6" s="88">
        <f t="shared" si="1"/>
        <v>41327</v>
      </c>
      <c r="E6" s="17"/>
      <c r="F6" s="17"/>
      <c r="G6" s="18"/>
      <c r="H6" s="19" t="str">
        <f>IF(G6="","",(VLOOKUP(G6,'Reference List'!$B$4:$D$166,2,FALSE)))</f>
        <v/>
      </c>
      <c r="I6" s="99"/>
      <c r="J6" s="24"/>
      <c r="K6" s="20"/>
      <c r="L6" s="17"/>
      <c r="M6" s="17"/>
      <c r="N6" s="17"/>
      <c r="O6" s="17"/>
      <c r="P6" s="17"/>
      <c r="Q6" s="17"/>
      <c r="R6" s="17"/>
      <c r="S6" s="17"/>
      <c r="T6" s="17"/>
      <c r="U6" s="21"/>
    </row>
    <row r="7" spans="1:59" s="27" customFormat="1" ht="15" x14ac:dyDescent="0.25">
      <c r="A7" s="25"/>
      <c r="B7" s="36">
        <v>4</v>
      </c>
      <c r="C7" s="30" t="str">
        <f t="shared" si="0"/>
        <v>41327-4</v>
      </c>
      <c r="D7" s="88">
        <f t="shared" si="1"/>
        <v>41327</v>
      </c>
      <c r="E7" s="17"/>
      <c r="F7" s="17"/>
      <c r="G7" s="18"/>
      <c r="H7" s="19" t="str">
        <f>IF(G7="","",(VLOOKUP(G7,'Reference List'!$B$4:$D$166,2,FALSE)))</f>
        <v/>
      </c>
      <c r="I7" s="99"/>
      <c r="J7" s="24"/>
      <c r="K7" s="20"/>
      <c r="L7" s="17"/>
      <c r="M7" s="17"/>
      <c r="N7" s="17"/>
      <c r="O7" s="17"/>
      <c r="P7" s="17"/>
      <c r="Q7" s="17"/>
      <c r="R7" s="17"/>
      <c r="S7" s="17"/>
      <c r="T7" s="17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59" s="22" customFormat="1" ht="15" x14ac:dyDescent="0.25">
      <c r="A8" s="16"/>
      <c r="B8" s="49">
        <v>5</v>
      </c>
      <c r="C8" s="30" t="str">
        <f t="shared" si="0"/>
        <v>41327-5</v>
      </c>
      <c r="D8" s="88">
        <f t="shared" si="1"/>
        <v>41327</v>
      </c>
      <c r="E8" s="17"/>
      <c r="F8" s="17"/>
      <c r="G8" s="18"/>
      <c r="H8" s="19" t="str">
        <f>IF(G8="","",(VLOOKUP(G8,'Reference List'!$B$4:$D$166,2,FALSE)))</f>
        <v/>
      </c>
      <c r="I8" s="99"/>
      <c r="J8" s="24"/>
      <c r="K8" s="20"/>
      <c r="L8" s="17"/>
      <c r="M8" s="17"/>
      <c r="N8" s="17"/>
      <c r="O8" s="17"/>
      <c r="P8" s="17"/>
      <c r="Q8" s="17"/>
      <c r="R8" s="17"/>
      <c r="S8" s="17"/>
      <c r="T8" s="17"/>
      <c r="U8" s="21"/>
    </row>
    <row r="9" spans="1:59" s="22" customFormat="1" ht="15" x14ac:dyDescent="0.25">
      <c r="A9" s="16"/>
      <c r="B9" s="49">
        <v>6</v>
      </c>
      <c r="C9" s="30" t="str">
        <f t="shared" si="0"/>
        <v>41327-6</v>
      </c>
      <c r="D9" s="88">
        <f t="shared" si="1"/>
        <v>41327</v>
      </c>
      <c r="E9" s="17"/>
      <c r="F9" s="17"/>
      <c r="G9" s="18"/>
      <c r="H9" s="19" t="str">
        <f>IF(G9="","",(VLOOKUP(G9,'Reference List'!$B$4:$D$166,2,FALSE)))</f>
        <v/>
      </c>
      <c r="I9" s="28"/>
      <c r="J9" s="29"/>
      <c r="K9" s="30"/>
      <c r="L9" s="30"/>
      <c r="M9" s="30"/>
      <c r="N9" s="30"/>
      <c r="O9" s="30"/>
      <c r="P9" s="30"/>
      <c r="Q9" s="30"/>
      <c r="R9" s="30"/>
      <c r="S9" s="30"/>
      <c r="T9" s="30"/>
      <c r="U9" s="21"/>
    </row>
    <row r="10" spans="1:59" s="22" customFormat="1" ht="15" x14ac:dyDescent="0.25">
      <c r="A10" s="16"/>
      <c r="B10" s="49">
        <v>7</v>
      </c>
      <c r="C10" s="30" t="str">
        <f t="shared" si="0"/>
        <v>41327-7</v>
      </c>
      <c r="D10" s="88">
        <f t="shared" si="1"/>
        <v>41327</v>
      </c>
      <c r="E10" s="17"/>
      <c r="F10" s="17"/>
      <c r="G10" s="18"/>
      <c r="H10" s="19" t="str">
        <f>IF(G10="","",(VLOOKUP(G10,'Reference List'!$B$4:$D$166,2,FALSE)))</f>
        <v/>
      </c>
      <c r="I10" s="100"/>
      <c r="J10" s="29"/>
      <c r="K10" s="31"/>
      <c r="L10" s="30"/>
      <c r="M10" s="30"/>
      <c r="N10" s="30"/>
      <c r="O10" s="30"/>
      <c r="P10" s="30"/>
      <c r="Q10" s="30"/>
      <c r="R10" s="30"/>
      <c r="S10" s="30"/>
      <c r="T10" s="30"/>
      <c r="U10" s="21"/>
    </row>
    <row r="11" spans="1:59" s="22" customFormat="1" ht="15" x14ac:dyDescent="0.25">
      <c r="A11" s="16"/>
      <c r="B11" s="36">
        <v>8</v>
      </c>
      <c r="C11" s="30" t="str">
        <f t="shared" si="0"/>
        <v>41327-8</v>
      </c>
      <c r="D11" s="88">
        <f t="shared" si="1"/>
        <v>41327</v>
      </c>
      <c r="E11" s="17"/>
      <c r="F11" s="17"/>
      <c r="G11" s="18"/>
      <c r="H11" s="19" t="str">
        <f>IF(G11="","",(VLOOKUP(G11,'Reference List'!$B$4:$D$166,2,FALSE)))</f>
        <v/>
      </c>
      <c r="I11" s="19"/>
      <c r="J11" s="29"/>
      <c r="K11" s="20"/>
      <c r="L11" s="30"/>
      <c r="M11" s="30"/>
      <c r="N11" s="30"/>
      <c r="O11" s="30"/>
      <c r="P11" s="30"/>
      <c r="Q11" s="30"/>
      <c r="R11" s="30"/>
      <c r="S11" s="30"/>
      <c r="T11" s="30"/>
      <c r="U11" s="21"/>
    </row>
    <row r="12" spans="1:59" s="33" customFormat="1" ht="15" x14ac:dyDescent="0.25">
      <c r="A12" s="16"/>
      <c r="B12" s="49">
        <v>9</v>
      </c>
      <c r="C12" s="30" t="str">
        <f t="shared" si="0"/>
        <v>41327-9</v>
      </c>
      <c r="D12" s="88">
        <f t="shared" si="1"/>
        <v>41327</v>
      </c>
      <c r="E12" s="17"/>
      <c r="F12" s="17"/>
      <c r="G12" s="18"/>
      <c r="H12" s="19" t="str">
        <f>IF(G12="","",(VLOOKUP(G12,'Reference List'!$B$4:$D$166,2,FALSE)))</f>
        <v/>
      </c>
      <c r="I12" s="19"/>
      <c r="J12" s="29"/>
      <c r="K12" s="20"/>
      <c r="L12" s="30"/>
      <c r="M12" s="30"/>
      <c r="N12" s="30"/>
      <c r="O12" s="30"/>
      <c r="P12" s="30"/>
      <c r="Q12" s="30"/>
      <c r="R12" s="30"/>
      <c r="S12" s="30"/>
      <c r="T12" s="30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</row>
    <row r="13" spans="1:59" s="22" customFormat="1" ht="15" x14ac:dyDescent="0.25">
      <c r="A13" s="16"/>
      <c r="B13" s="49">
        <v>10</v>
      </c>
      <c r="C13" s="30" t="str">
        <f t="shared" si="0"/>
        <v>41327-10</v>
      </c>
      <c r="D13" s="88">
        <f t="shared" si="1"/>
        <v>41327</v>
      </c>
      <c r="E13" s="17"/>
      <c r="F13" s="17"/>
      <c r="G13" s="18"/>
      <c r="H13" s="19" t="str">
        <f>IF(G13="","",(VLOOKUP(G13,'Reference List'!$B$4:$D$166,2,FALSE)))</f>
        <v/>
      </c>
      <c r="I13" s="19"/>
      <c r="J13" s="29"/>
      <c r="K13" s="20"/>
      <c r="L13" s="30"/>
      <c r="M13" s="30"/>
      <c r="N13" s="30"/>
      <c r="O13" s="30"/>
      <c r="P13" s="30"/>
      <c r="Q13" s="30"/>
      <c r="R13" s="30"/>
      <c r="S13" s="30"/>
      <c r="T13" s="30"/>
      <c r="U13" s="21"/>
    </row>
    <row r="14" spans="1:59" s="22" customFormat="1" ht="15" x14ac:dyDescent="0.25">
      <c r="A14" s="16"/>
      <c r="B14" s="49">
        <v>11</v>
      </c>
      <c r="C14" s="30" t="str">
        <f t="shared" si="0"/>
        <v>41327-11</v>
      </c>
      <c r="D14" s="88">
        <f t="shared" si="1"/>
        <v>41327</v>
      </c>
      <c r="E14" s="17"/>
      <c r="F14" s="17"/>
      <c r="G14" s="18"/>
      <c r="H14" s="19" t="str">
        <f>IF(G14="","",(VLOOKUP(G14,'Reference List'!$B$4:$D$166,2,FALSE)))</f>
        <v/>
      </c>
      <c r="I14" s="19"/>
      <c r="J14" s="29"/>
      <c r="K14" s="20"/>
      <c r="L14" s="30"/>
      <c r="M14" s="30"/>
      <c r="N14" s="30"/>
      <c r="O14" s="30"/>
      <c r="P14" s="30"/>
      <c r="Q14" s="30"/>
      <c r="R14" s="30"/>
      <c r="S14" s="30"/>
      <c r="T14" s="30"/>
      <c r="U14" s="21"/>
    </row>
    <row r="15" spans="1:59" s="22" customFormat="1" ht="15" x14ac:dyDescent="0.25">
      <c r="A15" s="16"/>
      <c r="B15" s="36">
        <v>12</v>
      </c>
      <c r="C15" s="30" t="str">
        <f t="shared" si="0"/>
        <v>41327-12</v>
      </c>
      <c r="D15" s="88">
        <f t="shared" si="1"/>
        <v>41327</v>
      </c>
      <c r="E15" s="17"/>
      <c r="F15" s="17"/>
      <c r="G15" s="18"/>
      <c r="H15" s="19" t="str">
        <f>IF(G15="","",(VLOOKUP(G15,'Reference List'!$B$4:$D$166,2,FALSE)))</f>
        <v/>
      </c>
      <c r="I15" s="19"/>
      <c r="J15" s="29"/>
      <c r="K15" s="20"/>
      <c r="L15" s="30"/>
      <c r="M15" s="30"/>
      <c r="N15" s="30"/>
      <c r="O15" s="30"/>
      <c r="P15" s="30"/>
      <c r="Q15" s="30"/>
      <c r="R15" s="30"/>
      <c r="S15" s="30"/>
      <c r="T15" s="30"/>
      <c r="U15" s="21"/>
    </row>
    <row r="16" spans="1:59" s="27" customFormat="1" ht="15" x14ac:dyDescent="0.25">
      <c r="A16" s="25"/>
      <c r="B16" s="49">
        <v>13</v>
      </c>
      <c r="C16" s="30" t="str">
        <f t="shared" si="0"/>
        <v>41327-13</v>
      </c>
      <c r="D16" s="88">
        <f t="shared" si="1"/>
        <v>41327</v>
      </c>
      <c r="E16" s="17"/>
      <c r="F16" s="17"/>
      <c r="G16" s="18"/>
      <c r="H16" s="19" t="str">
        <f>IF(G16="","",(VLOOKUP(G16,'Reference List'!$B$4:$D$166,2,FALSE)))</f>
        <v/>
      </c>
      <c r="I16" s="19"/>
      <c r="J16" s="29"/>
      <c r="K16" s="34"/>
      <c r="L16" s="30"/>
      <c r="M16" s="30"/>
      <c r="N16" s="30"/>
      <c r="O16" s="30"/>
      <c r="P16" s="30"/>
      <c r="Q16" s="30"/>
      <c r="R16" s="30"/>
      <c r="S16" s="30"/>
      <c r="T16" s="30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35"/>
    </row>
    <row r="17" spans="1:59" s="33" customFormat="1" ht="15" x14ac:dyDescent="0.25">
      <c r="A17" s="16"/>
      <c r="B17" s="49">
        <v>14</v>
      </c>
      <c r="C17" s="30" t="str">
        <f t="shared" si="0"/>
        <v>41327-14</v>
      </c>
      <c r="D17" s="88">
        <f t="shared" si="1"/>
        <v>41327</v>
      </c>
      <c r="E17" s="17"/>
      <c r="F17" s="17"/>
      <c r="G17" s="18"/>
      <c r="H17" s="19" t="str">
        <f>IF(G17="","",(VLOOKUP(G17,'Reference List'!$B$4:$D$166,2,FALSE)))</f>
        <v/>
      </c>
      <c r="I17" s="19"/>
      <c r="J17" s="24"/>
      <c r="K17" s="36"/>
      <c r="L17" s="17"/>
      <c r="M17" s="17"/>
      <c r="N17" s="17"/>
      <c r="O17" s="17"/>
      <c r="P17" s="17"/>
      <c r="Q17" s="17"/>
      <c r="R17" s="17"/>
      <c r="S17" s="17"/>
      <c r="T17" s="17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</row>
    <row r="18" spans="1:59" s="22" customFormat="1" ht="15" x14ac:dyDescent="0.25">
      <c r="A18" s="16"/>
      <c r="B18" s="49">
        <v>15</v>
      </c>
      <c r="C18" s="30" t="str">
        <f t="shared" si="0"/>
        <v>41327-15</v>
      </c>
      <c r="D18" s="88">
        <f t="shared" si="1"/>
        <v>41327</v>
      </c>
      <c r="E18" s="17"/>
      <c r="F18" s="17"/>
      <c r="G18" s="18"/>
      <c r="H18" s="19" t="str">
        <f>IF(G18="","",(VLOOKUP(G18,'Reference List'!$B$4:$D$166,2,FALSE)))</f>
        <v/>
      </c>
      <c r="I18" s="19"/>
      <c r="J18" s="24"/>
      <c r="K18" s="20"/>
      <c r="L18" s="17"/>
      <c r="M18" s="17"/>
      <c r="N18" s="17"/>
      <c r="O18" s="17"/>
      <c r="P18" s="17"/>
      <c r="Q18" s="17"/>
      <c r="R18" s="17"/>
      <c r="S18" s="17"/>
      <c r="T18" s="17"/>
      <c r="U18" s="21"/>
    </row>
    <row r="19" spans="1:59" s="22" customFormat="1" ht="15" x14ac:dyDescent="0.25">
      <c r="A19" s="16"/>
      <c r="B19" s="49">
        <v>16</v>
      </c>
      <c r="C19" s="30" t="str">
        <f t="shared" si="0"/>
        <v>41327-16</v>
      </c>
      <c r="D19" s="88">
        <f t="shared" si="1"/>
        <v>41327</v>
      </c>
      <c r="E19" s="17"/>
      <c r="F19" s="17"/>
      <c r="G19" s="18"/>
      <c r="H19" s="19" t="str">
        <f>IF(G19="","",(VLOOKUP(G19,'Reference List'!$B$4:$D$166,2,FALSE)))</f>
        <v/>
      </c>
      <c r="I19" s="19"/>
      <c r="J19" s="24"/>
      <c r="K19" s="20"/>
      <c r="L19" s="17"/>
      <c r="M19" s="17"/>
      <c r="N19" s="17"/>
      <c r="O19" s="17"/>
      <c r="P19" s="17"/>
      <c r="Q19" s="17"/>
      <c r="R19" s="17"/>
      <c r="S19" s="17"/>
      <c r="T19" s="17"/>
      <c r="U19" s="21"/>
    </row>
    <row r="20" spans="1:59" s="22" customFormat="1" ht="15" x14ac:dyDescent="0.25">
      <c r="A20" s="16"/>
      <c r="B20" s="49">
        <v>17</v>
      </c>
      <c r="C20" s="30" t="str">
        <f t="shared" si="0"/>
        <v>41327-17</v>
      </c>
      <c r="D20" s="88">
        <f t="shared" si="1"/>
        <v>41327</v>
      </c>
      <c r="E20" s="17"/>
      <c r="F20" s="17"/>
      <c r="G20" s="18"/>
      <c r="H20" s="19" t="str">
        <f>IF(G20="","",(VLOOKUP(G20,'Reference List'!$B$4:$D$166,2,FALSE)))</f>
        <v/>
      </c>
      <c r="I20" s="19"/>
      <c r="J20" s="24"/>
      <c r="K20" s="20"/>
      <c r="L20" s="17"/>
      <c r="M20" s="17"/>
      <c r="N20" s="17"/>
      <c r="O20" s="17"/>
      <c r="P20" s="17"/>
      <c r="Q20" s="17"/>
      <c r="R20" s="17"/>
      <c r="S20" s="17"/>
      <c r="T20" s="17"/>
      <c r="U20" s="21"/>
    </row>
    <row r="21" spans="1:59" s="22" customFormat="1" ht="15" x14ac:dyDescent="0.25">
      <c r="A21" s="16"/>
      <c r="B21" s="49">
        <v>18</v>
      </c>
      <c r="C21" s="30" t="str">
        <f t="shared" si="0"/>
        <v>41327-18</v>
      </c>
      <c r="D21" s="88">
        <f t="shared" si="1"/>
        <v>41327</v>
      </c>
      <c r="E21" s="17"/>
      <c r="F21" s="17"/>
      <c r="G21" s="18"/>
      <c r="H21" s="19" t="str">
        <f>IF(G21="","",(VLOOKUP(G21,'Reference List'!$B$4:$D$166,2,FALSE)))</f>
        <v/>
      </c>
      <c r="I21" s="19"/>
      <c r="J21" s="24"/>
      <c r="K21" s="20"/>
      <c r="L21" s="17"/>
      <c r="M21" s="17"/>
      <c r="N21" s="17"/>
      <c r="O21" s="17"/>
      <c r="P21" s="17"/>
      <c r="Q21" s="17"/>
      <c r="R21" s="17"/>
      <c r="S21" s="17"/>
      <c r="T21" s="17"/>
      <c r="U21" s="21"/>
    </row>
    <row r="22" spans="1:59" s="22" customFormat="1" ht="15" x14ac:dyDescent="0.25">
      <c r="A22" s="16"/>
      <c r="B22" s="36">
        <v>19</v>
      </c>
      <c r="C22" s="30" t="str">
        <f t="shared" si="0"/>
        <v>41327-19</v>
      </c>
      <c r="D22" s="88">
        <f t="shared" si="1"/>
        <v>41327</v>
      </c>
      <c r="E22" s="17"/>
      <c r="F22" s="17"/>
      <c r="G22" s="18"/>
      <c r="H22" s="19" t="str">
        <f>IF(G22="","",(VLOOKUP(G22,'Reference List'!$B$4:$D$166,2,FALSE)))</f>
        <v/>
      </c>
      <c r="I22" s="19"/>
      <c r="J22" s="24"/>
      <c r="K22" s="20"/>
      <c r="L22" s="17"/>
      <c r="M22" s="17"/>
      <c r="N22" s="17"/>
      <c r="O22" s="17"/>
      <c r="P22" s="17"/>
      <c r="Q22" s="17"/>
      <c r="R22" s="17"/>
      <c r="S22" s="17"/>
      <c r="T22" s="17"/>
    </row>
    <row r="23" spans="1:59" s="27" customFormat="1" ht="15" x14ac:dyDescent="0.25">
      <c r="A23" s="25"/>
      <c r="B23" s="49">
        <v>20</v>
      </c>
      <c r="C23" s="30" t="str">
        <f t="shared" si="0"/>
        <v>41327-20</v>
      </c>
      <c r="D23" s="88">
        <f t="shared" si="1"/>
        <v>41327</v>
      </c>
      <c r="E23" s="17"/>
      <c r="F23" s="17"/>
      <c r="G23" s="18"/>
      <c r="H23" s="19" t="str">
        <f>IF(G23="","",(VLOOKUP(G23,'Reference List'!$B$4:$D$166,2,FALSE)))</f>
        <v/>
      </c>
      <c r="I23" s="30"/>
      <c r="J23" s="24"/>
      <c r="K23" s="34"/>
      <c r="L23" s="17"/>
      <c r="M23" s="17"/>
      <c r="N23" s="17"/>
      <c r="O23" s="17"/>
      <c r="P23" s="17"/>
      <c r="Q23" s="17"/>
      <c r="R23" s="17"/>
      <c r="S23" s="17"/>
      <c r="T23" s="17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35"/>
    </row>
    <row r="24" spans="1:59" s="27" customFormat="1" ht="15" x14ac:dyDescent="0.25">
      <c r="A24" s="25"/>
      <c r="B24" s="49">
        <v>21</v>
      </c>
      <c r="C24" s="30" t="str">
        <f t="shared" si="0"/>
        <v>41327-21</v>
      </c>
      <c r="D24" s="88">
        <f t="shared" si="1"/>
        <v>41327</v>
      </c>
      <c r="E24" s="17"/>
      <c r="F24" s="17"/>
      <c r="G24" s="18"/>
      <c r="H24" s="19"/>
      <c r="I24" s="30"/>
      <c r="J24" s="29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7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35"/>
    </row>
    <row r="25" spans="1:59" s="38" customFormat="1" ht="15" x14ac:dyDescent="0.25">
      <c r="A25" s="25"/>
      <c r="B25" s="36">
        <v>22</v>
      </c>
      <c r="C25" s="30" t="str">
        <f t="shared" si="0"/>
        <v>41327-22</v>
      </c>
      <c r="D25" s="88">
        <f t="shared" si="1"/>
        <v>41327</v>
      </c>
      <c r="E25" s="17"/>
      <c r="F25" s="17"/>
      <c r="G25" s="18"/>
      <c r="H25" s="19" t="str">
        <f>IF(G25="","",(VLOOKUP(G25,'Reference List'!$B$4:$D$166,2,FALSE)))</f>
        <v/>
      </c>
      <c r="I25" s="30"/>
      <c r="J25" s="29"/>
      <c r="K25" s="36"/>
      <c r="L25" s="30"/>
      <c r="M25" s="30"/>
      <c r="N25" s="30"/>
      <c r="O25" s="30"/>
      <c r="P25" s="30"/>
      <c r="Q25" s="30"/>
      <c r="R25" s="30"/>
      <c r="S25" s="30"/>
      <c r="T25" s="30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35"/>
      <c r="AX25" s="27"/>
      <c r="AY25" s="27"/>
      <c r="AZ25" s="27"/>
      <c r="BA25" s="27"/>
      <c r="BB25" s="27"/>
    </row>
    <row r="26" spans="1:59" s="43" customFormat="1" ht="15" customHeight="1" x14ac:dyDescent="0.25">
      <c r="A26" s="39"/>
      <c r="B26" s="49">
        <v>23</v>
      </c>
      <c r="C26" s="30" t="str">
        <f t="shared" si="0"/>
        <v>41327-23</v>
      </c>
      <c r="D26" s="88">
        <f t="shared" si="1"/>
        <v>41327</v>
      </c>
      <c r="E26" s="17"/>
      <c r="F26" s="17"/>
      <c r="G26" s="18"/>
      <c r="H26" s="19" t="str">
        <f>IF(G26="","",(VLOOKUP(G26,'Reference List'!$B$4:$D$166,2,FALSE)))</f>
        <v/>
      </c>
      <c r="I26" s="30"/>
      <c r="J26" s="29"/>
      <c r="K26" s="40"/>
      <c r="L26" s="30"/>
      <c r="M26" s="30"/>
      <c r="N26" s="30"/>
      <c r="O26" s="30"/>
      <c r="P26" s="30"/>
      <c r="Q26" s="30"/>
      <c r="R26" s="30"/>
      <c r="S26" s="30"/>
      <c r="T26" s="30"/>
      <c r="U26" s="41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</row>
    <row r="27" spans="1:59" s="43" customFormat="1" ht="15" x14ac:dyDescent="0.25">
      <c r="A27" s="39"/>
      <c r="B27" s="49">
        <v>24</v>
      </c>
      <c r="C27" s="30" t="str">
        <f t="shared" si="0"/>
        <v>41327-24</v>
      </c>
      <c r="D27" s="88">
        <f t="shared" si="1"/>
        <v>41327</v>
      </c>
      <c r="E27" s="17"/>
      <c r="F27" s="17"/>
      <c r="G27" s="18"/>
      <c r="H27" s="19" t="str">
        <f>IF(G27="","",(VLOOKUP(G27,'Reference List'!$B$4:$D$166,2,FALSE)))</f>
        <v/>
      </c>
      <c r="I27" s="30"/>
      <c r="J27" s="29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41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</row>
    <row r="28" spans="1:59" ht="15" x14ac:dyDescent="0.25">
      <c r="B28" s="36">
        <v>25</v>
      </c>
      <c r="C28" s="30" t="str">
        <f t="shared" si="0"/>
        <v>41327-25</v>
      </c>
      <c r="D28" s="88">
        <f t="shared" si="1"/>
        <v>41327</v>
      </c>
      <c r="E28" s="17"/>
      <c r="F28" s="17"/>
      <c r="G28" s="18"/>
      <c r="H28" s="19" t="str">
        <f>IF(G28="","",(VLOOKUP(G28,'Reference List'!$B$4:$D$166,2,FALSE)))</f>
        <v/>
      </c>
      <c r="I28" s="30"/>
      <c r="J28" s="29"/>
      <c r="K28" s="30"/>
      <c r="L28" s="30"/>
      <c r="M28" s="30"/>
      <c r="N28" s="30"/>
      <c r="O28" s="30"/>
      <c r="P28" s="30"/>
      <c r="Q28" s="30"/>
      <c r="R28" s="30"/>
      <c r="S28" s="30"/>
      <c r="T28" s="30"/>
    </row>
    <row r="29" spans="1:59" ht="15" x14ac:dyDescent="0.25">
      <c r="B29" s="49">
        <v>26</v>
      </c>
      <c r="C29" s="30" t="str">
        <f t="shared" si="0"/>
        <v>41327-26</v>
      </c>
      <c r="D29" s="88">
        <f t="shared" si="1"/>
        <v>41327</v>
      </c>
      <c r="E29" s="17"/>
      <c r="F29" s="17"/>
      <c r="G29" s="18"/>
      <c r="H29" s="19" t="str">
        <f>IF(G29="","",(VLOOKUP(G29,'Reference List'!$B$4:$D$166,2,FALSE)))</f>
        <v/>
      </c>
      <c r="I29" s="30"/>
      <c r="J29" s="29"/>
      <c r="K29" s="40"/>
      <c r="L29" s="30"/>
      <c r="M29" s="30"/>
      <c r="N29" s="30"/>
      <c r="O29" s="30"/>
      <c r="P29" s="30"/>
      <c r="Q29" s="30"/>
      <c r="R29" s="30"/>
      <c r="S29" s="30"/>
      <c r="T29" s="30"/>
    </row>
    <row r="30" spans="1:59" s="48" customFormat="1" ht="15" x14ac:dyDescent="0.25">
      <c r="A30" s="44"/>
      <c r="B30" s="49">
        <v>27</v>
      </c>
      <c r="C30" s="30" t="str">
        <f t="shared" si="0"/>
        <v>41327-27</v>
      </c>
      <c r="D30" s="88">
        <f t="shared" si="1"/>
        <v>41327</v>
      </c>
      <c r="E30" s="101"/>
      <c r="F30" s="101"/>
      <c r="G30" s="102"/>
      <c r="H30" s="19" t="str">
        <f>IF(G30="","",(VLOOKUP(G30,'Reference List'!$B$4:$D$166,2,FALSE)))</f>
        <v/>
      </c>
      <c r="I30" s="30"/>
      <c r="J30" s="29"/>
      <c r="K30" s="40"/>
      <c r="L30" s="30"/>
      <c r="M30" s="30"/>
      <c r="N30" s="30"/>
      <c r="O30" s="30"/>
      <c r="P30" s="30"/>
      <c r="Q30" s="30"/>
      <c r="R30" s="30"/>
      <c r="S30" s="30"/>
      <c r="T30" s="30"/>
      <c r="U30" s="45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7"/>
    </row>
    <row r="31" spans="1:59" s="49" customFormat="1" ht="15" x14ac:dyDescent="0.25">
      <c r="A31" s="1"/>
      <c r="B31" s="36">
        <v>28</v>
      </c>
      <c r="C31" s="30" t="str">
        <f t="shared" si="0"/>
        <v>41327-28</v>
      </c>
      <c r="D31" s="88">
        <f t="shared" si="1"/>
        <v>41327</v>
      </c>
      <c r="E31" s="101"/>
      <c r="F31" s="101"/>
      <c r="G31" s="102"/>
      <c r="H31" s="19" t="str">
        <f>IF(G31="","",(VLOOKUP(G31,'Reference List'!$B$4:$D$166,2,FALSE)))</f>
        <v/>
      </c>
      <c r="I31" s="89"/>
      <c r="J31" s="91"/>
      <c r="K31" s="89"/>
      <c r="L31" s="89"/>
      <c r="M31" s="89"/>
      <c r="N31" s="30"/>
      <c r="O31" s="89"/>
      <c r="P31" s="89"/>
      <c r="Q31" s="89"/>
      <c r="R31" s="89"/>
      <c r="S31" s="89"/>
      <c r="T31" s="89"/>
      <c r="U31" s="11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</row>
    <row r="32" spans="1:59" s="49" customFormat="1" ht="15" x14ac:dyDescent="0.25">
      <c r="A32" s="1"/>
      <c r="B32" s="49">
        <v>29</v>
      </c>
      <c r="C32" s="30" t="str">
        <f t="shared" si="0"/>
        <v>41327-29</v>
      </c>
      <c r="D32" s="88">
        <f t="shared" si="1"/>
        <v>41327</v>
      </c>
      <c r="E32" s="101"/>
      <c r="F32" s="101"/>
      <c r="G32" s="102"/>
      <c r="H32" s="19" t="str">
        <f>IF(G32="","",(VLOOKUP(G32,'Reference List'!$B$4:$D$166,2,FALSE)))</f>
        <v/>
      </c>
      <c r="I32" s="89"/>
      <c r="J32" s="91"/>
      <c r="K32" s="89"/>
      <c r="L32" s="89"/>
      <c r="M32" s="89"/>
      <c r="N32" s="30"/>
      <c r="O32" s="89"/>
      <c r="P32" s="89"/>
      <c r="Q32" s="89"/>
      <c r="R32" s="89"/>
      <c r="S32" s="89"/>
      <c r="T32" s="89"/>
      <c r="U32" s="11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</row>
    <row r="33" spans="1:58" s="49" customFormat="1" ht="15" x14ac:dyDescent="0.25">
      <c r="A33" s="1"/>
      <c r="B33" s="49">
        <v>30</v>
      </c>
      <c r="C33" s="30" t="str">
        <f t="shared" si="0"/>
        <v>41327-30</v>
      </c>
      <c r="D33" s="88">
        <f t="shared" si="1"/>
        <v>41327</v>
      </c>
      <c r="E33" s="101"/>
      <c r="F33" s="101"/>
      <c r="G33" s="102"/>
      <c r="H33" s="19" t="str">
        <f>IF(G33="","",(VLOOKUP(G33,'Reference List'!$B$4:$D$166,2,FALSE)))</f>
        <v/>
      </c>
      <c r="I33" s="89"/>
      <c r="J33" s="91"/>
      <c r="K33" s="89"/>
      <c r="L33" s="89"/>
      <c r="M33" s="89"/>
      <c r="N33" s="30"/>
      <c r="O33" s="89"/>
      <c r="P33" s="89"/>
      <c r="Q33" s="89"/>
      <c r="R33" s="89"/>
      <c r="S33" s="89"/>
      <c r="T33" s="89"/>
      <c r="U33" s="11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</row>
    <row r="34" spans="1:58" s="49" customFormat="1" ht="15" x14ac:dyDescent="0.25">
      <c r="A34" s="1"/>
      <c r="B34" s="36">
        <v>31</v>
      </c>
      <c r="C34" s="30" t="str">
        <f t="shared" si="0"/>
        <v>41327-31</v>
      </c>
      <c r="D34" s="88">
        <f t="shared" si="1"/>
        <v>41327</v>
      </c>
      <c r="E34" s="101"/>
      <c r="F34" s="101"/>
      <c r="G34" s="102"/>
      <c r="H34" s="19" t="str">
        <f>IF(G34="","",(VLOOKUP(G34,'Reference List'!$B$4:$D$166,2,FALSE)))</f>
        <v/>
      </c>
      <c r="I34" s="89"/>
      <c r="J34" s="91"/>
      <c r="K34" s="89"/>
      <c r="L34" s="89"/>
      <c r="M34" s="89"/>
      <c r="N34" s="30"/>
      <c r="O34" s="89"/>
      <c r="P34" s="89"/>
      <c r="Q34" s="89"/>
      <c r="R34" s="89"/>
      <c r="S34" s="89"/>
      <c r="T34" s="89"/>
      <c r="U34" s="11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</row>
    <row r="35" spans="1:58" s="49" customFormat="1" ht="15" x14ac:dyDescent="0.2">
      <c r="A35" s="1"/>
      <c r="B35" s="49">
        <v>32</v>
      </c>
      <c r="C35" s="30" t="str">
        <f t="shared" si="0"/>
        <v>41327-32</v>
      </c>
      <c r="D35" s="88">
        <f t="shared" si="1"/>
        <v>41327</v>
      </c>
      <c r="E35" s="101"/>
      <c r="F35" s="89"/>
      <c r="G35" s="90"/>
      <c r="H35" s="19" t="str">
        <f>IF(G35="","",(VLOOKUP(G35,'Reference List'!$B$4:$D$166,2,FALSE)))</f>
        <v/>
      </c>
      <c r="I35" s="89"/>
      <c r="J35" s="91"/>
      <c r="K35" s="89"/>
      <c r="L35" s="89"/>
      <c r="M35" s="89"/>
      <c r="N35" s="30"/>
      <c r="O35" s="89"/>
      <c r="P35" s="89"/>
      <c r="Q35" s="89"/>
      <c r="R35" s="89"/>
      <c r="S35" s="89"/>
      <c r="T35" s="89"/>
      <c r="U35" s="11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</row>
    <row r="36" spans="1:58" s="49" customFormat="1" ht="15" x14ac:dyDescent="0.2">
      <c r="A36" s="1"/>
      <c r="B36" s="49">
        <v>33</v>
      </c>
      <c r="C36" s="30" t="str">
        <f t="shared" si="0"/>
        <v>41327-33</v>
      </c>
      <c r="D36" s="88">
        <f t="shared" si="1"/>
        <v>41327</v>
      </c>
      <c r="E36" s="103"/>
      <c r="F36" s="89"/>
      <c r="G36" s="90"/>
      <c r="H36" s="19" t="str">
        <f>IF(G36="","",(VLOOKUP(G36,'Reference List'!$B$4:$D$166,2,FALSE)))</f>
        <v/>
      </c>
      <c r="I36" s="89"/>
      <c r="J36" s="91"/>
      <c r="K36" s="89"/>
      <c r="L36" s="89"/>
      <c r="M36" s="89"/>
      <c r="N36" s="30"/>
      <c r="O36" s="89"/>
      <c r="P36" s="89"/>
      <c r="Q36" s="89"/>
      <c r="R36" s="89"/>
      <c r="S36" s="89"/>
      <c r="T36" s="89"/>
      <c r="U36" s="11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</row>
    <row r="37" spans="1:58" s="27" customFormat="1" ht="15" x14ac:dyDescent="0.2">
      <c r="A37" s="25"/>
      <c r="B37" s="36">
        <v>34</v>
      </c>
      <c r="C37" s="30" t="str">
        <f t="shared" si="0"/>
        <v>41327-34</v>
      </c>
      <c r="D37" s="88">
        <f t="shared" si="1"/>
        <v>41327</v>
      </c>
      <c r="E37" s="104"/>
      <c r="F37" s="104"/>
      <c r="G37" s="50"/>
      <c r="H37" s="19" t="str">
        <f>IF(G37="","",(VLOOKUP(G37,'Reference List'!$B$4:$D$166,2,FALSE)))</f>
        <v/>
      </c>
      <c r="I37" s="30"/>
      <c r="J37" s="29"/>
      <c r="K37" s="34"/>
      <c r="L37" s="30"/>
      <c r="M37" s="30"/>
      <c r="N37" s="30"/>
      <c r="O37" s="30"/>
      <c r="P37" s="30"/>
      <c r="Q37" s="30"/>
      <c r="R37" s="30"/>
      <c r="S37" s="30"/>
      <c r="T37" s="30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35"/>
    </row>
    <row r="38" spans="1:58" s="27" customFormat="1" ht="14.25" x14ac:dyDescent="0.2">
      <c r="A38" s="25"/>
      <c r="B38" s="49">
        <v>35</v>
      </c>
      <c r="C38" s="30" t="str">
        <f t="shared" si="0"/>
        <v>41327-35</v>
      </c>
      <c r="D38" s="88">
        <f t="shared" si="1"/>
        <v>41327</v>
      </c>
      <c r="E38" s="30"/>
      <c r="F38" s="30"/>
      <c r="G38" s="50"/>
      <c r="H38" s="19" t="str">
        <f>IF(G38="","",(VLOOKUP(G38,'Reference List'!$B$4:$D$166,2,FALSE)))</f>
        <v/>
      </c>
      <c r="I38" s="30"/>
      <c r="J38" s="29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7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35"/>
    </row>
    <row r="39" spans="1:58" s="38" customFormat="1" ht="14.25" x14ac:dyDescent="0.2">
      <c r="A39" s="25"/>
      <c r="B39" s="49">
        <v>36</v>
      </c>
      <c r="C39" s="30" t="str">
        <f t="shared" si="0"/>
        <v>41327-36</v>
      </c>
      <c r="D39" s="88">
        <f t="shared" si="1"/>
        <v>41327</v>
      </c>
      <c r="E39" s="30"/>
      <c r="F39" s="30"/>
      <c r="G39" s="50"/>
      <c r="H39" s="19" t="str">
        <f>IF(G39="","",(VLOOKUP(G39,'Reference List'!$B$4:$D$166,2,FALSE)))</f>
        <v/>
      </c>
      <c r="I39" s="30"/>
      <c r="J39" s="29"/>
      <c r="K39" s="36"/>
      <c r="L39" s="30"/>
      <c r="M39" s="30"/>
      <c r="N39" s="30"/>
      <c r="O39" s="30"/>
      <c r="P39" s="30"/>
      <c r="Q39" s="30"/>
      <c r="R39" s="30"/>
      <c r="S39" s="30"/>
      <c r="T39" s="30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35"/>
      <c r="AX39" s="27"/>
      <c r="AY39" s="27"/>
      <c r="AZ39" s="27"/>
      <c r="BA39" s="27"/>
      <c r="BB39" s="27"/>
    </row>
    <row r="40" spans="1:58" s="43" customFormat="1" ht="15" customHeight="1" x14ac:dyDescent="0.2">
      <c r="A40" s="39"/>
      <c r="B40" s="36">
        <v>37</v>
      </c>
      <c r="C40" s="30" t="str">
        <f t="shared" si="0"/>
        <v>41327-37</v>
      </c>
      <c r="D40" s="88">
        <f t="shared" si="1"/>
        <v>41327</v>
      </c>
      <c r="E40" s="30"/>
      <c r="F40" s="30"/>
      <c r="G40" s="50"/>
      <c r="H40" s="19" t="str">
        <f>IF(G40="","",(VLOOKUP(G40,'Reference List'!$B$4:$D$166,2,FALSE)))</f>
        <v/>
      </c>
      <c r="I40" s="30"/>
      <c r="J40" s="29"/>
      <c r="K40" s="40"/>
      <c r="L40" s="30"/>
      <c r="M40" s="30"/>
      <c r="N40" s="30"/>
      <c r="O40" s="30"/>
      <c r="P40" s="30"/>
      <c r="Q40" s="30"/>
      <c r="R40" s="30"/>
      <c r="S40" s="30"/>
      <c r="T40" s="30"/>
      <c r="U40" s="41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</row>
    <row r="41" spans="1:58" s="43" customFormat="1" ht="14.25" x14ac:dyDescent="0.2">
      <c r="A41" s="39"/>
      <c r="B41" s="49">
        <v>38</v>
      </c>
      <c r="C41" s="30" t="str">
        <f t="shared" si="0"/>
        <v>41327-38</v>
      </c>
      <c r="D41" s="88">
        <f t="shared" si="1"/>
        <v>41327</v>
      </c>
      <c r="E41" s="30"/>
      <c r="F41" s="30"/>
      <c r="G41" s="50"/>
      <c r="H41" s="19" t="str">
        <f>IF(G41="","",(VLOOKUP(G41,'Reference List'!$B$4:$D$166,2,FALSE)))</f>
        <v/>
      </c>
      <c r="I41" s="30"/>
      <c r="J41" s="29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41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</row>
    <row r="42" spans="1:58" ht="14.25" x14ac:dyDescent="0.2">
      <c r="B42" s="49">
        <v>39</v>
      </c>
      <c r="C42" s="30" t="str">
        <f t="shared" si="0"/>
        <v>41327-39</v>
      </c>
      <c r="D42" s="88">
        <f t="shared" si="1"/>
        <v>41327</v>
      </c>
      <c r="E42" s="30"/>
      <c r="F42" s="30"/>
      <c r="G42" s="50"/>
      <c r="H42" s="19" t="str">
        <f>IF(G42="","",(VLOOKUP(G42,'Reference List'!$B$4:$D$166,2,FALSE)))</f>
        <v/>
      </c>
      <c r="I42" s="30"/>
      <c r="J42" s="29"/>
      <c r="K42" s="30"/>
      <c r="L42" s="30"/>
      <c r="M42" s="30"/>
      <c r="N42" s="30"/>
      <c r="O42" s="30"/>
      <c r="P42" s="30"/>
      <c r="Q42" s="30"/>
      <c r="R42" s="30"/>
      <c r="S42" s="30"/>
      <c r="T42" s="30"/>
    </row>
    <row r="43" spans="1:58" ht="14.25" x14ac:dyDescent="0.2">
      <c r="B43" s="36">
        <v>40</v>
      </c>
      <c r="C43" s="30" t="str">
        <f t="shared" si="0"/>
        <v>41327-40</v>
      </c>
      <c r="D43" s="88">
        <f t="shared" si="1"/>
        <v>41327</v>
      </c>
      <c r="E43" s="30"/>
      <c r="F43" s="30"/>
      <c r="G43" s="50"/>
      <c r="H43" s="19" t="str">
        <f>IF(G43="","",(VLOOKUP(G43,'Reference List'!$B$4:$D$166,2,FALSE)))</f>
        <v/>
      </c>
      <c r="I43" s="30"/>
      <c r="J43" s="29"/>
      <c r="K43" s="40"/>
      <c r="L43" s="30"/>
      <c r="M43" s="30"/>
      <c r="N43" s="30"/>
      <c r="O43" s="30"/>
      <c r="P43" s="30"/>
      <c r="Q43" s="30"/>
      <c r="R43" s="30"/>
      <c r="S43" s="30"/>
      <c r="T43" s="30"/>
    </row>
    <row r="44" spans="1:58" s="48" customFormat="1" ht="14.25" x14ac:dyDescent="0.2">
      <c r="A44" s="44"/>
      <c r="B44" s="49">
        <v>41</v>
      </c>
      <c r="C44" s="30" t="str">
        <f t="shared" si="0"/>
        <v>41327-41</v>
      </c>
      <c r="D44" s="88">
        <f t="shared" si="1"/>
        <v>41327</v>
      </c>
      <c r="E44" s="30"/>
      <c r="F44" s="30"/>
      <c r="G44" s="50"/>
      <c r="H44" s="19" t="str">
        <f>IF(G44="","",(VLOOKUP(G44,'Reference List'!$B$4:$D$166,2,FALSE)))</f>
        <v/>
      </c>
      <c r="I44" s="30"/>
      <c r="J44" s="29"/>
      <c r="K44" s="40"/>
      <c r="L44" s="30"/>
      <c r="M44" s="30"/>
      <c r="N44" s="30"/>
      <c r="O44" s="30"/>
      <c r="P44" s="30"/>
      <c r="Q44" s="30"/>
      <c r="R44" s="30"/>
      <c r="S44" s="30"/>
      <c r="T44" s="30"/>
      <c r="U44" s="45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7"/>
    </row>
    <row r="45" spans="1:58" s="49" customFormat="1" ht="14.25" x14ac:dyDescent="0.2">
      <c r="A45" s="1"/>
      <c r="B45" s="49">
        <v>42</v>
      </c>
      <c r="C45" s="30" t="str">
        <f t="shared" si="0"/>
        <v>41327-42</v>
      </c>
      <c r="D45" s="88">
        <f t="shared" si="1"/>
        <v>41327</v>
      </c>
      <c r="E45" s="89"/>
      <c r="F45" s="89"/>
      <c r="G45" s="90"/>
      <c r="H45" s="19" t="str">
        <f>IF(G45="","",(VLOOKUP(G45,'Reference List'!$B$4:$D$166,2,FALSE)))</f>
        <v/>
      </c>
      <c r="I45" s="89"/>
      <c r="J45" s="91"/>
      <c r="K45" s="89"/>
      <c r="L45" s="89"/>
      <c r="M45" s="89"/>
      <c r="N45" s="30"/>
      <c r="O45" s="89"/>
      <c r="P45" s="89"/>
      <c r="Q45" s="89"/>
      <c r="R45" s="89"/>
      <c r="S45" s="89"/>
      <c r="T45" s="89"/>
      <c r="U45" s="11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</row>
    <row r="46" spans="1:58" s="49" customFormat="1" ht="14.25" x14ac:dyDescent="0.2">
      <c r="A46" s="1"/>
      <c r="B46" s="36">
        <v>43</v>
      </c>
      <c r="C46" s="30" t="str">
        <f t="shared" si="0"/>
        <v>41327-43</v>
      </c>
      <c r="D46" s="88">
        <f t="shared" si="1"/>
        <v>41327</v>
      </c>
      <c r="E46" s="89"/>
      <c r="F46" s="89"/>
      <c r="G46" s="90"/>
      <c r="H46" s="19" t="str">
        <f>IF(G46="","",(VLOOKUP(G46,'Reference List'!$B$4:$D$166,2,FALSE)))</f>
        <v/>
      </c>
      <c r="I46" s="89"/>
      <c r="J46" s="91"/>
      <c r="K46" s="89"/>
      <c r="L46" s="89"/>
      <c r="M46" s="89"/>
      <c r="N46" s="30"/>
      <c r="O46" s="89"/>
      <c r="P46" s="89"/>
      <c r="Q46" s="89"/>
      <c r="R46" s="89"/>
      <c r="S46" s="89"/>
      <c r="T46" s="89"/>
      <c r="U46" s="11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</row>
    <row r="47" spans="1:58" s="49" customFormat="1" ht="14.25" x14ac:dyDescent="0.2">
      <c r="A47" s="1"/>
      <c r="B47" s="49">
        <v>44</v>
      </c>
      <c r="C47" s="30" t="str">
        <f t="shared" si="0"/>
        <v>41327-44</v>
      </c>
      <c r="D47" s="88">
        <f t="shared" si="1"/>
        <v>41327</v>
      </c>
      <c r="E47" s="89"/>
      <c r="F47" s="89"/>
      <c r="G47" s="90"/>
      <c r="H47" s="19" t="str">
        <f>IF(G47="","",(VLOOKUP(G47,'Reference List'!$B$4:$D$166,2,FALSE)))</f>
        <v/>
      </c>
      <c r="I47" s="89"/>
      <c r="J47" s="91"/>
      <c r="K47" s="89"/>
      <c r="L47" s="89"/>
      <c r="M47" s="89"/>
      <c r="N47" s="30"/>
      <c r="O47" s="89"/>
      <c r="P47" s="89"/>
      <c r="Q47" s="89"/>
      <c r="R47" s="89"/>
      <c r="S47" s="89"/>
      <c r="T47" s="89"/>
      <c r="U47" s="11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</row>
    <row r="48" spans="1:58" s="49" customFormat="1" ht="14.25" x14ac:dyDescent="0.2">
      <c r="A48" s="1"/>
      <c r="B48" s="49">
        <v>45</v>
      </c>
      <c r="C48" s="30" t="str">
        <f t="shared" si="0"/>
        <v>41327-45</v>
      </c>
      <c r="D48" s="88">
        <f t="shared" si="1"/>
        <v>41327</v>
      </c>
      <c r="E48" s="89"/>
      <c r="F48" s="89"/>
      <c r="G48" s="90"/>
      <c r="H48" s="19" t="str">
        <f>IF(G48="","",(VLOOKUP(G48,'Reference List'!$B$4:$D$166,2,FALSE)))</f>
        <v/>
      </c>
      <c r="I48" s="89"/>
      <c r="J48" s="91"/>
      <c r="K48" s="89"/>
      <c r="L48" s="89"/>
      <c r="M48" s="89"/>
      <c r="N48" s="30"/>
      <c r="O48" s="89"/>
      <c r="P48" s="89"/>
      <c r="Q48" s="89"/>
      <c r="R48" s="89"/>
      <c r="S48" s="89"/>
      <c r="T48" s="89"/>
      <c r="U48" s="11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</row>
    <row r="49" spans="1:58" s="49" customFormat="1" ht="14.25" x14ac:dyDescent="0.2">
      <c r="A49" s="1"/>
      <c r="B49" s="36">
        <v>46</v>
      </c>
      <c r="C49" s="30" t="str">
        <f t="shared" si="0"/>
        <v>41327-46</v>
      </c>
      <c r="D49" s="88">
        <f t="shared" si="1"/>
        <v>41327</v>
      </c>
      <c r="E49" s="89"/>
      <c r="F49" s="89"/>
      <c r="G49" s="90"/>
      <c r="H49" s="19" t="str">
        <f>IF(G49="","",(VLOOKUP(G49,'Reference List'!$B$4:$D$166,2,FALSE)))</f>
        <v/>
      </c>
      <c r="I49" s="89"/>
      <c r="J49" s="91"/>
      <c r="K49" s="89"/>
      <c r="L49" s="89"/>
      <c r="M49" s="89"/>
      <c r="N49" s="30"/>
      <c r="O49" s="89"/>
      <c r="P49" s="89"/>
      <c r="Q49" s="89"/>
      <c r="R49" s="89"/>
      <c r="S49" s="89"/>
      <c r="T49" s="89"/>
      <c r="U49" s="11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</row>
    <row r="50" spans="1:58" ht="14.25" x14ac:dyDescent="0.2">
      <c r="B50" s="36">
        <v>47</v>
      </c>
      <c r="C50" s="30" t="str">
        <f t="shared" ref="C50:C104" si="2">CONCATENATE(D50,"-",B50)</f>
        <v>41327-47</v>
      </c>
      <c r="D50" s="88">
        <f t="shared" si="1"/>
        <v>41327</v>
      </c>
      <c r="E50" s="89"/>
      <c r="F50" s="89"/>
      <c r="G50" s="90"/>
      <c r="H50" s="19" t="str">
        <f>IF(G50="","",(VLOOKUP(G50,'Reference List'!$B$4:$D$166,2,FALSE)))</f>
        <v/>
      </c>
      <c r="I50" s="89"/>
      <c r="J50" s="91"/>
      <c r="K50" s="89"/>
      <c r="L50" s="89"/>
      <c r="M50" s="89"/>
      <c r="N50" s="30"/>
      <c r="O50" s="89"/>
      <c r="P50" s="89"/>
      <c r="Q50" s="89"/>
      <c r="R50" s="89"/>
      <c r="S50" s="89"/>
      <c r="T50" s="89"/>
    </row>
    <row r="51" spans="1:58" ht="14.25" x14ac:dyDescent="0.2">
      <c r="B51" s="36">
        <v>48</v>
      </c>
      <c r="C51" s="30" t="str">
        <f t="shared" si="2"/>
        <v>41327-48</v>
      </c>
      <c r="D51" s="88">
        <f t="shared" si="1"/>
        <v>41327</v>
      </c>
      <c r="E51" s="89"/>
      <c r="F51" s="89"/>
      <c r="G51" s="90"/>
      <c r="H51" s="19" t="str">
        <f>IF(G51="","",(VLOOKUP(G51,'Reference List'!$B$4:$D$166,2,FALSE)))</f>
        <v/>
      </c>
      <c r="I51" s="89"/>
      <c r="J51" s="91"/>
      <c r="K51" s="89"/>
      <c r="L51" s="89"/>
      <c r="M51" s="89"/>
      <c r="N51" s="30"/>
      <c r="O51" s="89"/>
      <c r="P51" s="89"/>
      <c r="Q51" s="89"/>
      <c r="R51" s="89"/>
      <c r="S51" s="89"/>
      <c r="T51" s="89"/>
    </row>
    <row r="52" spans="1:58" ht="14.25" x14ac:dyDescent="0.2">
      <c r="B52" s="36">
        <v>49</v>
      </c>
      <c r="C52" s="30" t="str">
        <f t="shared" si="2"/>
        <v>41327-49</v>
      </c>
      <c r="D52" s="88">
        <f t="shared" si="1"/>
        <v>41327</v>
      </c>
      <c r="E52" s="89"/>
      <c r="F52" s="89"/>
      <c r="G52" s="90"/>
      <c r="H52" s="19" t="str">
        <f>IF(G52="","",(VLOOKUP(G52,'Reference List'!$B$4:$D$166,2,FALSE)))</f>
        <v/>
      </c>
      <c r="I52" s="89"/>
      <c r="J52" s="91"/>
      <c r="K52" s="89"/>
      <c r="L52" s="89"/>
      <c r="M52" s="89"/>
      <c r="N52" s="30"/>
      <c r="O52" s="89"/>
      <c r="P52" s="89"/>
      <c r="Q52" s="89"/>
      <c r="R52" s="89"/>
      <c r="S52" s="89"/>
      <c r="T52" s="89"/>
    </row>
    <row r="53" spans="1:58" ht="14.25" x14ac:dyDescent="0.2">
      <c r="B53" s="36">
        <v>50</v>
      </c>
      <c r="C53" s="30" t="str">
        <f t="shared" si="2"/>
        <v>41327-50</v>
      </c>
      <c r="D53" s="88">
        <f t="shared" si="1"/>
        <v>41327</v>
      </c>
      <c r="E53" s="89"/>
      <c r="F53" s="89"/>
      <c r="G53" s="90"/>
      <c r="H53" s="19" t="str">
        <f>IF(G53="","",(VLOOKUP(G53,'Reference List'!$B$4:$D$166,2,FALSE)))</f>
        <v/>
      </c>
      <c r="I53" s="89"/>
      <c r="J53" s="91"/>
      <c r="K53" s="89"/>
      <c r="L53" s="89"/>
      <c r="M53" s="89"/>
      <c r="N53" s="30"/>
      <c r="O53" s="89"/>
      <c r="P53" s="89"/>
      <c r="Q53" s="89"/>
      <c r="R53" s="89"/>
      <c r="S53" s="89"/>
      <c r="T53" s="89"/>
    </row>
    <row r="54" spans="1:58" ht="14.25" x14ac:dyDescent="0.2">
      <c r="B54" s="36">
        <v>51</v>
      </c>
      <c r="C54" s="30" t="str">
        <f t="shared" si="2"/>
        <v>41327-51</v>
      </c>
      <c r="D54" s="88">
        <f t="shared" si="1"/>
        <v>41327</v>
      </c>
      <c r="E54" s="89"/>
      <c r="F54" s="89"/>
      <c r="G54" s="90"/>
      <c r="H54" s="19" t="str">
        <f>IF(G54="","",(VLOOKUP(G54,'Reference List'!$B$4:$D$166,2,FALSE)))</f>
        <v/>
      </c>
      <c r="I54" s="89"/>
      <c r="J54" s="91"/>
      <c r="K54" s="89"/>
      <c r="L54" s="89"/>
      <c r="M54" s="89"/>
      <c r="N54" s="30"/>
      <c r="O54" s="89"/>
      <c r="P54" s="89"/>
      <c r="Q54" s="89"/>
      <c r="R54" s="89"/>
      <c r="S54" s="89"/>
      <c r="T54" s="89"/>
    </row>
    <row r="55" spans="1:58" ht="14.25" x14ac:dyDescent="0.2">
      <c r="B55" s="36">
        <v>52</v>
      </c>
      <c r="C55" s="30" t="str">
        <f t="shared" si="2"/>
        <v>41327-52</v>
      </c>
      <c r="D55" s="88">
        <f t="shared" si="1"/>
        <v>41327</v>
      </c>
      <c r="E55" s="89"/>
      <c r="F55" s="89"/>
      <c r="G55" s="90"/>
      <c r="H55" s="19" t="str">
        <f>IF(G55="","",(VLOOKUP(G55,'Reference List'!$B$4:$D$166,2,FALSE)))</f>
        <v/>
      </c>
      <c r="I55" s="89"/>
      <c r="J55" s="91"/>
      <c r="K55" s="89"/>
      <c r="L55" s="89"/>
      <c r="M55" s="89"/>
      <c r="N55" s="30"/>
      <c r="O55" s="89"/>
      <c r="P55" s="89"/>
      <c r="Q55" s="89"/>
      <c r="R55" s="89"/>
      <c r="S55" s="89"/>
      <c r="T55" s="89"/>
    </row>
    <row r="56" spans="1:58" ht="14.25" x14ac:dyDescent="0.2">
      <c r="B56" s="36">
        <v>53</v>
      </c>
      <c r="C56" s="30" t="str">
        <f t="shared" si="2"/>
        <v>41327-53</v>
      </c>
      <c r="D56" s="88">
        <f t="shared" si="1"/>
        <v>41327</v>
      </c>
      <c r="E56" s="89"/>
      <c r="F56" s="89"/>
      <c r="G56" s="90"/>
      <c r="H56" s="19" t="str">
        <f>IF(G56="","",(VLOOKUP(G56,'Reference List'!$B$4:$D$166,2,FALSE)))</f>
        <v/>
      </c>
      <c r="I56" s="89"/>
      <c r="J56" s="91"/>
      <c r="K56" s="89"/>
      <c r="L56" s="89"/>
      <c r="M56" s="89"/>
      <c r="N56" s="30"/>
      <c r="O56" s="89"/>
      <c r="P56" s="89"/>
      <c r="Q56" s="89"/>
      <c r="R56" s="89"/>
      <c r="S56" s="89"/>
      <c r="T56" s="89"/>
    </row>
    <row r="57" spans="1:58" ht="14.25" x14ac:dyDescent="0.2">
      <c r="B57" s="36">
        <v>54</v>
      </c>
      <c r="C57" s="30" t="str">
        <f t="shared" si="2"/>
        <v>41327-54</v>
      </c>
      <c r="D57" s="88">
        <f t="shared" si="1"/>
        <v>41327</v>
      </c>
      <c r="E57" s="89"/>
      <c r="F57" s="89"/>
      <c r="G57" s="90"/>
      <c r="H57" s="19" t="str">
        <f>IF(G57="","",(VLOOKUP(G57,'Reference List'!$B$4:$D$166,2,FALSE)))</f>
        <v/>
      </c>
      <c r="I57" s="89"/>
      <c r="J57" s="91"/>
      <c r="K57" s="89"/>
      <c r="L57" s="89"/>
      <c r="M57" s="89"/>
      <c r="N57" s="30"/>
      <c r="O57" s="89"/>
      <c r="P57" s="89"/>
      <c r="Q57" s="89"/>
      <c r="R57" s="89"/>
      <c r="S57" s="89"/>
      <c r="T57" s="89"/>
    </row>
    <row r="58" spans="1:58" ht="14.25" x14ac:dyDescent="0.2">
      <c r="B58" s="36">
        <v>55</v>
      </c>
      <c r="C58" s="30" t="str">
        <f t="shared" si="2"/>
        <v>41327-55</v>
      </c>
      <c r="D58" s="88">
        <f t="shared" si="1"/>
        <v>41327</v>
      </c>
      <c r="E58" s="89"/>
      <c r="F58" s="89"/>
      <c r="G58" s="90"/>
      <c r="H58" s="19" t="str">
        <f>IF(G58="","",(VLOOKUP(G58,'Reference List'!$B$4:$D$166,2,FALSE)))</f>
        <v/>
      </c>
      <c r="I58" s="89"/>
      <c r="J58" s="91"/>
      <c r="K58" s="89"/>
      <c r="L58" s="89"/>
      <c r="M58" s="89"/>
      <c r="N58" s="30"/>
      <c r="O58" s="89"/>
      <c r="P58" s="89"/>
      <c r="Q58" s="89"/>
      <c r="R58" s="89"/>
      <c r="S58" s="89"/>
      <c r="T58" s="89"/>
    </row>
    <row r="59" spans="1:58" ht="14.25" x14ac:dyDescent="0.2">
      <c r="B59" s="36">
        <v>56</v>
      </c>
      <c r="C59" s="30" t="str">
        <f t="shared" si="2"/>
        <v>41327-56</v>
      </c>
      <c r="D59" s="88">
        <f t="shared" si="1"/>
        <v>41327</v>
      </c>
      <c r="E59" s="89"/>
      <c r="F59" s="89"/>
      <c r="G59" s="90"/>
      <c r="H59" s="19" t="str">
        <f>IF(G59="","",(VLOOKUP(G59,'Reference List'!$B$4:$D$166,2,FALSE)))</f>
        <v/>
      </c>
      <c r="I59" s="89"/>
      <c r="J59" s="91"/>
      <c r="K59" s="89"/>
      <c r="L59" s="89"/>
      <c r="M59" s="89"/>
      <c r="N59" s="30"/>
      <c r="O59" s="89"/>
      <c r="P59" s="89"/>
      <c r="Q59" s="89"/>
      <c r="R59" s="89"/>
      <c r="S59" s="89"/>
      <c r="T59" s="89"/>
    </row>
    <row r="60" spans="1:58" ht="14.25" x14ac:dyDescent="0.2">
      <c r="B60" s="36">
        <v>57</v>
      </c>
      <c r="C60" s="30" t="str">
        <f t="shared" si="2"/>
        <v>41327-57</v>
      </c>
      <c r="D60" s="88">
        <f t="shared" si="1"/>
        <v>41327</v>
      </c>
      <c r="E60" s="89"/>
      <c r="F60" s="89"/>
      <c r="G60" s="90"/>
      <c r="H60" s="19" t="str">
        <f>IF(G60="","",(VLOOKUP(G60,'Reference List'!$B$4:$D$166,2,FALSE)))</f>
        <v/>
      </c>
      <c r="I60" s="89"/>
      <c r="J60" s="91"/>
      <c r="K60" s="89"/>
      <c r="L60" s="89"/>
      <c r="M60" s="89"/>
      <c r="N60" s="30"/>
      <c r="O60" s="89"/>
      <c r="P60" s="89"/>
      <c r="Q60" s="89"/>
      <c r="R60" s="89"/>
      <c r="S60" s="89"/>
      <c r="T60" s="89"/>
    </row>
    <row r="61" spans="1:58" ht="14.25" x14ac:dyDescent="0.2">
      <c r="B61" s="36">
        <v>58</v>
      </c>
      <c r="C61" s="30" t="str">
        <f t="shared" si="2"/>
        <v>41327-58</v>
      </c>
      <c r="D61" s="88">
        <f t="shared" si="1"/>
        <v>41327</v>
      </c>
      <c r="E61" s="89"/>
      <c r="F61" s="89"/>
      <c r="G61" s="90"/>
      <c r="H61" s="19" t="str">
        <f>IF(G61="","",(VLOOKUP(G61,'Reference List'!$B$4:$D$166,2,FALSE)))</f>
        <v/>
      </c>
      <c r="I61" s="89"/>
      <c r="J61" s="91"/>
      <c r="K61" s="89"/>
      <c r="L61" s="89"/>
      <c r="M61" s="89"/>
      <c r="N61" s="30"/>
      <c r="O61" s="89"/>
      <c r="P61" s="89"/>
      <c r="Q61" s="89"/>
      <c r="R61" s="89"/>
      <c r="S61" s="89"/>
      <c r="T61" s="89"/>
    </row>
    <row r="62" spans="1:58" ht="14.25" x14ac:dyDescent="0.2">
      <c r="B62" s="36">
        <v>59</v>
      </c>
      <c r="C62" s="30" t="str">
        <f t="shared" si="2"/>
        <v>41327-59</v>
      </c>
      <c r="D62" s="88">
        <f t="shared" si="1"/>
        <v>41327</v>
      </c>
      <c r="E62" s="89"/>
      <c r="F62" s="89"/>
      <c r="G62" s="90"/>
      <c r="H62" s="19" t="str">
        <f>IF(G62="","",(VLOOKUP(G62,'Reference List'!$B$4:$D$166,2,FALSE)))</f>
        <v/>
      </c>
      <c r="I62" s="89"/>
      <c r="J62" s="91"/>
      <c r="K62" s="89"/>
      <c r="L62" s="89"/>
      <c r="M62" s="89"/>
      <c r="N62" s="30"/>
      <c r="O62" s="89"/>
      <c r="P62" s="89"/>
      <c r="Q62" s="89"/>
      <c r="R62" s="89"/>
      <c r="S62" s="89"/>
      <c r="T62" s="89"/>
    </row>
    <row r="63" spans="1:58" ht="14.25" x14ac:dyDescent="0.2">
      <c r="B63" s="36">
        <v>60</v>
      </c>
      <c r="C63" s="30" t="str">
        <f t="shared" si="2"/>
        <v>41327-60</v>
      </c>
      <c r="D63" s="88">
        <f t="shared" si="1"/>
        <v>41327</v>
      </c>
      <c r="E63" s="89"/>
      <c r="F63" s="89"/>
      <c r="G63" s="90"/>
      <c r="H63" s="19" t="str">
        <f>IF(G63="","",(VLOOKUP(G63,'Reference List'!$B$4:$D$166,2,FALSE)))</f>
        <v/>
      </c>
      <c r="I63" s="89"/>
      <c r="J63" s="91"/>
      <c r="K63" s="89"/>
      <c r="L63" s="89"/>
      <c r="M63" s="89"/>
      <c r="N63" s="30"/>
      <c r="O63" s="89"/>
      <c r="P63" s="89"/>
      <c r="Q63" s="89"/>
      <c r="R63" s="89"/>
      <c r="S63" s="89"/>
      <c r="T63" s="89"/>
    </row>
    <row r="64" spans="1:58" ht="14.25" x14ac:dyDescent="0.2">
      <c r="B64" s="36">
        <v>61</v>
      </c>
      <c r="C64" s="30" t="str">
        <f t="shared" si="2"/>
        <v>41327-61</v>
      </c>
      <c r="D64" s="88">
        <f t="shared" si="1"/>
        <v>41327</v>
      </c>
      <c r="E64" s="89"/>
      <c r="F64" s="89"/>
      <c r="G64" s="90"/>
      <c r="H64" s="19" t="str">
        <f>IF(G64="","",(VLOOKUP(G64,'Reference List'!$B$4:$D$166,2,FALSE)))</f>
        <v/>
      </c>
      <c r="I64" s="89"/>
      <c r="J64" s="91"/>
      <c r="K64" s="89"/>
      <c r="L64" s="89"/>
      <c r="M64" s="89"/>
      <c r="N64" s="30"/>
      <c r="O64" s="89"/>
      <c r="P64" s="89"/>
      <c r="Q64" s="89"/>
      <c r="R64" s="89"/>
      <c r="S64" s="89"/>
      <c r="T64" s="89"/>
    </row>
    <row r="65" spans="2:20" ht="14.25" x14ac:dyDescent="0.2">
      <c r="B65" s="36">
        <v>62</v>
      </c>
      <c r="C65" s="30" t="str">
        <f t="shared" si="2"/>
        <v>41327-62</v>
      </c>
      <c r="D65" s="88">
        <f t="shared" si="1"/>
        <v>41327</v>
      </c>
      <c r="E65" s="89"/>
      <c r="F65" s="89"/>
      <c r="G65" s="90"/>
      <c r="H65" s="19" t="str">
        <f>IF(G65="","",(VLOOKUP(G65,'Reference List'!$B$4:$D$166,2,FALSE)))</f>
        <v/>
      </c>
      <c r="I65" s="89"/>
      <c r="J65" s="91"/>
      <c r="K65" s="89"/>
      <c r="L65" s="89"/>
      <c r="M65" s="89"/>
      <c r="N65" s="30"/>
      <c r="O65" s="89"/>
      <c r="P65" s="89"/>
      <c r="Q65" s="89"/>
      <c r="R65" s="89"/>
      <c r="S65" s="89"/>
      <c r="T65" s="89"/>
    </row>
    <row r="66" spans="2:20" ht="14.25" x14ac:dyDescent="0.2">
      <c r="B66" s="36">
        <v>63</v>
      </c>
      <c r="C66" s="30" t="str">
        <f t="shared" si="2"/>
        <v>41327-63</v>
      </c>
      <c r="D66" s="88">
        <f t="shared" si="1"/>
        <v>41327</v>
      </c>
      <c r="E66" s="89"/>
      <c r="F66" s="89"/>
      <c r="G66" s="90"/>
      <c r="H66" s="19" t="str">
        <f>IF(G66="","",(VLOOKUP(G66,'Reference List'!$B$4:$D$166,2,FALSE)))</f>
        <v/>
      </c>
      <c r="I66" s="89"/>
      <c r="J66" s="91"/>
      <c r="K66" s="89"/>
      <c r="L66" s="89"/>
      <c r="M66" s="89"/>
      <c r="N66" s="30"/>
      <c r="O66" s="89"/>
      <c r="P66" s="89"/>
      <c r="Q66" s="89"/>
      <c r="R66" s="89"/>
      <c r="S66" s="89"/>
      <c r="T66" s="89"/>
    </row>
    <row r="67" spans="2:20" ht="14.25" x14ac:dyDescent="0.2">
      <c r="B67" s="36">
        <v>64</v>
      </c>
      <c r="C67" s="30" t="str">
        <f t="shared" si="2"/>
        <v>41327-64</v>
      </c>
      <c r="D67" s="88">
        <f t="shared" si="1"/>
        <v>41327</v>
      </c>
      <c r="E67" s="89"/>
      <c r="F67" s="89"/>
      <c r="G67" s="90"/>
      <c r="H67" s="19" t="str">
        <f>IF(G67="","",(VLOOKUP(G67,'Reference List'!$B$4:$D$166,2,FALSE)))</f>
        <v/>
      </c>
      <c r="I67" s="89"/>
      <c r="J67" s="91"/>
      <c r="K67" s="89"/>
      <c r="L67" s="89"/>
      <c r="M67" s="89"/>
      <c r="N67" s="30"/>
      <c r="O67" s="89"/>
      <c r="P67" s="89"/>
      <c r="Q67" s="89"/>
      <c r="R67" s="89"/>
      <c r="S67" s="89"/>
      <c r="T67" s="89"/>
    </row>
    <row r="68" spans="2:20" ht="14.25" x14ac:dyDescent="0.2">
      <c r="B68" s="36">
        <v>65</v>
      </c>
      <c r="C68" s="30" t="str">
        <f t="shared" si="2"/>
        <v>41327-65</v>
      </c>
      <c r="D68" s="88">
        <f t="shared" si="1"/>
        <v>41327</v>
      </c>
      <c r="E68" s="89"/>
      <c r="F68" s="89"/>
      <c r="G68" s="90"/>
      <c r="H68" s="19" t="str">
        <f>IF(G68="","",(VLOOKUP(G68,'Reference List'!$B$4:$D$166,2,FALSE)))</f>
        <v/>
      </c>
      <c r="I68" s="89"/>
      <c r="J68" s="91"/>
      <c r="K68" s="89"/>
      <c r="L68" s="89"/>
      <c r="M68" s="89"/>
      <c r="N68" s="30"/>
      <c r="O68" s="89"/>
      <c r="P68" s="89"/>
      <c r="Q68" s="89"/>
      <c r="R68" s="89"/>
      <c r="S68" s="89"/>
      <c r="T68" s="89"/>
    </row>
    <row r="69" spans="2:20" ht="14.25" x14ac:dyDescent="0.2">
      <c r="B69" s="36">
        <v>66</v>
      </c>
      <c r="C69" s="30" t="str">
        <f t="shared" si="2"/>
        <v>41327-66</v>
      </c>
      <c r="D69" s="88">
        <f t="shared" ref="D69:D104" si="3">+$L$2</f>
        <v>41327</v>
      </c>
      <c r="E69" s="89"/>
      <c r="F69" s="89"/>
      <c r="G69" s="90"/>
      <c r="H69" s="19" t="str">
        <f>IF(G69="","",(VLOOKUP(G69,'Reference List'!$B$4:$D$166,2,FALSE)))</f>
        <v/>
      </c>
      <c r="I69" s="89"/>
      <c r="J69" s="91"/>
      <c r="K69" s="89"/>
      <c r="L69" s="89"/>
      <c r="M69" s="89"/>
      <c r="N69" s="30"/>
      <c r="O69" s="89"/>
      <c r="P69" s="89"/>
      <c r="Q69" s="89"/>
      <c r="R69" s="89"/>
      <c r="S69" s="89"/>
      <c r="T69" s="89"/>
    </row>
    <row r="70" spans="2:20" ht="14.25" x14ac:dyDescent="0.2">
      <c r="B70" s="36">
        <v>67</v>
      </c>
      <c r="C70" s="30" t="str">
        <f t="shared" si="2"/>
        <v>41327-67</v>
      </c>
      <c r="D70" s="88">
        <f t="shared" si="3"/>
        <v>41327</v>
      </c>
      <c r="E70" s="89"/>
      <c r="F70" s="89"/>
      <c r="G70" s="90"/>
      <c r="H70" s="19" t="str">
        <f>IF(G70="","",(VLOOKUP(G70,'Reference List'!$B$4:$D$166,2,FALSE)))</f>
        <v/>
      </c>
      <c r="I70" s="89"/>
      <c r="J70" s="91"/>
      <c r="K70" s="89"/>
      <c r="L70" s="89"/>
      <c r="M70" s="89"/>
      <c r="N70" s="30"/>
      <c r="O70" s="89"/>
      <c r="P70" s="89"/>
      <c r="Q70" s="89"/>
      <c r="R70" s="89"/>
      <c r="S70" s="89"/>
      <c r="T70" s="89"/>
    </row>
    <row r="71" spans="2:20" ht="14.25" x14ac:dyDescent="0.2">
      <c r="B71" s="36">
        <v>68</v>
      </c>
      <c r="C71" s="30" t="str">
        <f t="shared" si="2"/>
        <v>41327-68</v>
      </c>
      <c r="D71" s="88">
        <f t="shared" si="3"/>
        <v>41327</v>
      </c>
      <c r="E71" s="89"/>
      <c r="F71" s="89"/>
      <c r="G71" s="90"/>
      <c r="H71" s="19" t="str">
        <f>IF(G71="","",(VLOOKUP(G71,'Reference List'!$B$4:$D$166,2,FALSE)))</f>
        <v/>
      </c>
      <c r="I71" s="89"/>
      <c r="J71" s="91"/>
      <c r="K71" s="89"/>
      <c r="L71" s="89"/>
      <c r="M71" s="89"/>
      <c r="N71" s="30"/>
      <c r="O71" s="89"/>
      <c r="P71" s="89"/>
      <c r="Q71" s="89"/>
      <c r="R71" s="89"/>
      <c r="S71" s="89"/>
      <c r="T71" s="89"/>
    </row>
    <row r="72" spans="2:20" ht="14.25" x14ac:dyDescent="0.2">
      <c r="B72" s="36">
        <v>69</v>
      </c>
      <c r="C72" s="30" t="str">
        <f t="shared" si="2"/>
        <v>41327-69</v>
      </c>
      <c r="D72" s="88">
        <f t="shared" si="3"/>
        <v>41327</v>
      </c>
      <c r="E72" s="89"/>
      <c r="F72" s="89"/>
      <c r="G72" s="90"/>
      <c r="H72" s="19" t="str">
        <f>IF(G72="","",(VLOOKUP(G72,'Reference List'!$B$4:$D$166,2,FALSE)))</f>
        <v/>
      </c>
      <c r="I72" s="89"/>
      <c r="J72" s="91"/>
      <c r="K72" s="89"/>
      <c r="L72" s="89"/>
      <c r="M72" s="89"/>
      <c r="N72" s="30"/>
      <c r="O72" s="89"/>
      <c r="P72" s="89"/>
      <c r="Q72" s="89"/>
      <c r="R72" s="89"/>
      <c r="S72" s="89"/>
      <c r="T72" s="89"/>
    </row>
    <row r="73" spans="2:20" ht="14.25" x14ac:dyDescent="0.2">
      <c r="B73" s="36">
        <v>70</v>
      </c>
      <c r="C73" s="30" t="str">
        <f t="shared" si="2"/>
        <v>41327-70</v>
      </c>
      <c r="D73" s="88">
        <f t="shared" si="3"/>
        <v>41327</v>
      </c>
      <c r="E73" s="89"/>
      <c r="F73" s="89"/>
      <c r="G73" s="90"/>
      <c r="H73" s="19" t="str">
        <f>IF(G73="","",(VLOOKUP(G73,'Reference List'!$B$4:$D$166,2,FALSE)))</f>
        <v/>
      </c>
      <c r="I73" s="89"/>
      <c r="J73" s="91"/>
      <c r="K73" s="89"/>
      <c r="L73" s="89"/>
      <c r="M73" s="89"/>
      <c r="N73" s="30"/>
      <c r="O73" s="89"/>
      <c r="P73" s="89"/>
      <c r="Q73" s="89"/>
      <c r="R73" s="89"/>
      <c r="S73" s="89"/>
      <c r="T73" s="89"/>
    </row>
    <row r="74" spans="2:20" ht="14.25" x14ac:dyDescent="0.2">
      <c r="B74" s="36">
        <v>71</v>
      </c>
      <c r="C74" s="30" t="str">
        <f t="shared" si="2"/>
        <v>41327-71</v>
      </c>
      <c r="D74" s="88">
        <f t="shared" si="3"/>
        <v>41327</v>
      </c>
      <c r="E74" s="89"/>
      <c r="F74" s="89"/>
      <c r="G74" s="90"/>
      <c r="H74" s="19" t="str">
        <f>IF(G74="","",(VLOOKUP(G74,'Reference List'!$B$4:$D$166,2,FALSE)))</f>
        <v/>
      </c>
      <c r="I74" s="89"/>
      <c r="J74" s="91"/>
      <c r="K74" s="89"/>
      <c r="L74" s="89"/>
      <c r="M74" s="89"/>
      <c r="N74" s="30"/>
      <c r="O74" s="89"/>
      <c r="P74" s="89"/>
      <c r="Q74" s="89"/>
      <c r="R74" s="89"/>
      <c r="S74" s="89"/>
      <c r="T74" s="89"/>
    </row>
    <row r="75" spans="2:20" ht="14.25" x14ac:dyDescent="0.2">
      <c r="B75" s="36">
        <v>72</v>
      </c>
      <c r="C75" s="30" t="str">
        <f t="shared" si="2"/>
        <v>41327-72</v>
      </c>
      <c r="D75" s="88">
        <f t="shared" si="3"/>
        <v>41327</v>
      </c>
      <c r="E75" s="89"/>
      <c r="F75" s="89"/>
      <c r="G75" s="90"/>
      <c r="H75" s="19" t="str">
        <f>IF(G75="","",(VLOOKUP(G75,'Reference List'!$B$4:$D$166,2,FALSE)))</f>
        <v/>
      </c>
      <c r="I75" s="89"/>
      <c r="J75" s="91"/>
      <c r="K75" s="89"/>
      <c r="L75" s="89"/>
      <c r="M75" s="89"/>
      <c r="N75" s="30"/>
      <c r="O75" s="89"/>
      <c r="P75" s="89"/>
      <c r="Q75" s="89"/>
      <c r="R75" s="89"/>
      <c r="S75" s="89"/>
      <c r="T75" s="89"/>
    </row>
    <row r="76" spans="2:20" ht="14.25" x14ac:dyDescent="0.2">
      <c r="B76" s="36">
        <v>73</v>
      </c>
      <c r="C76" s="30" t="str">
        <f t="shared" si="2"/>
        <v>41327-73</v>
      </c>
      <c r="D76" s="88">
        <f t="shared" si="3"/>
        <v>41327</v>
      </c>
      <c r="E76" s="89"/>
      <c r="F76" s="89"/>
      <c r="G76" s="90"/>
      <c r="H76" s="19" t="str">
        <f>IF(G76="","",(VLOOKUP(G76,'Reference List'!$B$4:$D$166,2,FALSE)))</f>
        <v/>
      </c>
      <c r="I76" s="89"/>
      <c r="J76" s="91"/>
      <c r="K76" s="89"/>
      <c r="L76" s="89"/>
      <c r="M76" s="89"/>
      <c r="N76" s="30"/>
      <c r="O76" s="89"/>
      <c r="P76" s="89"/>
      <c r="Q76" s="89"/>
      <c r="R76" s="89"/>
      <c r="S76" s="89"/>
      <c r="T76" s="89"/>
    </row>
    <row r="77" spans="2:20" ht="14.25" x14ac:dyDescent="0.2">
      <c r="B77" s="36">
        <v>74</v>
      </c>
      <c r="C77" s="30" t="str">
        <f t="shared" si="2"/>
        <v>41327-74</v>
      </c>
      <c r="D77" s="88">
        <f t="shared" si="3"/>
        <v>41327</v>
      </c>
      <c r="E77" s="89"/>
      <c r="F77" s="89"/>
      <c r="G77" s="90"/>
      <c r="H77" s="19" t="str">
        <f>IF(G77="","",(VLOOKUP(G77,'Reference List'!$B$4:$D$166,2,FALSE)))</f>
        <v/>
      </c>
      <c r="I77" s="89"/>
      <c r="J77" s="91"/>
      <c r="K77" s="89"/>
      <c r="L77" s="89"/>
      <c r="M77" s="89"/>
      <c r="N77" s="30"/>
      <c r="O77" s="89"/>
      <c r="P77" s="89"/>
      <c r="Q77" s="89"/>
      <c r="R77" s="89"/>
      <c r="S77" s="89"/>
      <c r="T77" s="89"/>
    </row>
    <row r="78" spans="2:20" ht="14.25" x14ac:dyDescent="0.2">
      <c r="B78" s="36">
        <v>75</v>
      </c>
      <c r="C78" s="30" t="str">
        <f t="shared" si="2"/>
        <v>41327-75</v>
      </c>
      <c r="D78" s="88">
        <f t="shared" si="3"/>
        <v>41327</v>
      </c>
      <c r="E78" s="89"/>
      <c r="F78" s="89"/>
      <c r="G78" s="90"/>
      <c r="H78" s="19" t="str">
        <f>IF(G78="","",(VLOOKUP(G78,'Reference List'!$B$4:$D$166,2,FALSE)))</f>
        <v/>
      </c>
      <c r="I78" s="89"/>
      <c r="J78" s="91"/>
      <c r="K78" s="89"/>
      <c r="L78" s="89"/>
      <c r="M78" s="89"/>
      <c r="N78" s="30"/>
      <c r="O78" s="89"/>
      <c r="P78" s="89"/>
      <c r="Q78" s="89"/>
      <c r="R78" s="89"/>
      <c r="S78" s="89"/>
      <c r="T78" s="89"/>
    </row>
    <row r="79" spans="2:20" ht="14.25" x14ac:dyDescent="0.2">
      <c r="B79" s="36">
        <v>76</v>
      </c>
      <c r="C79" s="30" t="str">
        <f t="shared" si="2"/>
        <v>41327-76</v>
      </c>
      <c r="D79" s="88">
        <f t="shared" si="3"/>
        <v>41327</v>
      </c>
      <c r="E79" s="89"/>
      <c r="F79" s="89"/>
      <c r="G79" s="90"/>
      <c r="H79" s="19" t="str">
        <f>IF(G79="","",(VLOOKUP(G79,'Reference List'!$B$4:$D$166,2,FALSE)))</f>
        <v/>
      </c>
      <c r="I79" s="89"/>
      <c r="J79" s="91"/>
      <c r="K79" s="89"/>
      <c r="L79" s="89"/>
      <c r="M79" s="89"/>
      <c r="N79" s="30"/>
      <c r="O79" s="89"/>
      <c r="P79" s="89"/>
      <c r="Q79" s="89"/>
      <c r="R79" s="89"/>
      <c r="S79" s="89"/>
      <c r="T79" s="89"/>
    </row>
    <row r="80" spans="2:20" ht="14.25" x14ac:dyDescent="0.2">
      <c r="B80" s="36">
        <v>77</v>
      </c>
      <c r="C80" s="30" t="str">
        <f t="shared" si="2"/>
        <v>41327-77</v>
      </c>
      <c r="D80" s="88">
        <f t="shared" si="3"/>
        <v>41327</v>
      </c>
      <c r="E80" s="89"/>
      <c r="F80" s="89"/>
      <c r="G80" s="90"/>
      <c r="H80" s="19" t="str">
        <f>IF(G80="","",(VLOOKUP(G80,'Reference List'!$B$4:$D$166,2,FALSE)))</f>
        <v/>
      </c>
      <c r="I80" s="89"/>
      <c r="J80" s="91"/>
      <c r="K80" s="89"/>
      <c r="L80" s="89"/>
      <c r="M80" s="89"/>
      <c r="N80" s="30"/>
      <c r="O80" s="89"/>
      <c r="P80" s="89"/>
      <c r="Q80" s="89"/>
      <c r="R80" s="89"/>
      <c r="S80" s="89"/>
      <c r="T80" s="89"/>
    </row>
    <row r="81" spans="2:20" ht="14.25" x14ac:dyDescent="0.2">
      <c r="B81" s="36">
        <v>78</v>
      </c>
      <c r="C81" s="30" t="str">
        <f t="shared" si="2"/>
        <v>41327-78</v>
      </c>
      <c r="D81" s="88">
        <f t="shared" si="3"/>
        <v>41327</v>
      </c>
      <c r="E81" s="89"/>
      <c r="F81" s="89"/>
      <c r="G81" s="90"/>
      <c r="H81" s="19" t="str">
        <f>IF(G81="","",(VLOOKUP(G81,'Reference List'!$B$4:$D$166,2,FALSE)))</f>
        <v/>
      </c>
      <c r="I81" s="89"/>
      <c r="J81" s="91"/>
      <c r="K81" s="89"/>
      <c r="L81" s="89"/>
      <c r="M81" s="89"/>
      <c r="N81" s="30"/>
      <c r="O81" s="89"/>
      <c r="P81" s="89"/>
      <c r="Q81" s="89"/>
      <c r="R81" s="89"/>
      <c r="S81" s="89"/>
      <c r="T81" s="89"/>
    </row>
    <row r="82" spans="2:20" ht="14.25" x14ac:dyDescent="0.2">
      <c r="B82" s="36">
        <v>79</v>
      </c>
      <c r="C82" s="30" t="str">
        <f t="shared" si="2"/>
        <v>41327-79</v>
      </c>
      <c r="D82" s="88">
        <f t="shared" si="3"/>
        <v>41327</v>
      </c>
      <c r="E82" s="89"/>
      <c r="F82" s="89"/>
      <c r="G82" s="90"/>
      <c r="H82" s="19" t="str">
        <f>IF(G82="","",(VLOOKUP(G82,'Reference List'!$B$4:$D$166,2,FALSE)))</f>
        <v/>
      </c>
      <c r="I82" s="89"/>
      <c r="J82" s="91"/>
      <c r="K82" s="89"/>
      <c r="L82" s="89"/>
      <c r="M82" s="89"/>
      <c r="N82" s="30"/>
      <c r="O82" s="89"/>
      <c r="P82" s="89"/>
      <c r="Q82" s="89"/>
      <c r="R82" s="89"/>
      <c r="S82" s="89"/>
      <c r="T82" s="89"/>
    </row>
    <row r="83" spans="2:20" ht="14.25" x14ac:dyDescent="0.2">
      <c r="B83" s="36">
        <v>80</v>
      </c>
      <c r="C83" s="30" t="str">
        <f t="shared" si="2"/>
        <v>41327-80</v>
      </c>
      <c r="D83" s="88">
        <f t="shared" si="3"/>
        <v>41327</v>
      </c>
      <c r="E83" s="89"/>
      <c r="F83" s="89"/>
      <c r="G83" s="90"/>
      <c r="H83" s="19" t="str">
        <f>IF(G83="","",(VLOOKUP(G83,'Reference List'!$B$4:$D$166,2,FALSE)))</f>
        <v/>
      </c>
      <c r="I83" s="89"/>
      <c r="J83" s="91"/>
      <c r="K83" s="89"/>
      <c r="L83" s="89"/>
      <c r="M83" s="89"/>
      <c r="N83" s="30"/>
      <c r="O83" s="89"/>
      <c r="P83" s="89"/>
      <c r="Q83" s="89"/>
      <c r="R83" s="89"/>
      <c r="S83" s="89"/>
      <c r="T83" s="89"/>
    </row>
    <row r="84" spans="2:20" ht="14.25" x14ac:dyDescent="0.2">
      <c r="B84" s="36">
        <v>81</v>
      </c>
      <c r="C84" s="30" t="str">
        <f t="shared" si="2"/>
        <v>41327-81</v>
      </c>
      <c r="D84" s="88">
        <f t="shared" si="3"/>
        <v>41327</v>
      </c>
      <c r="E84" s="89"/>
      <c r="F84" s="89"/>
      <c r="G84" s="90"/>
      <c r="H84" s="19" t="str">
        <f>IF(G84="","",(VLOOKUP(G84,'Reference List'!$B$4:$D$166,2,FALSE)))</f>
        <v/>
      </c>
      <c r="I84" s="89"/>
      <c r="J84" s="91"/>
      <c r="K84" s="89"/>
      <c r="L84" s="89"/>
      <c r="M84" s="89"/>
      <c r="N84" s="30"/>
      <c r="O84" s="89"/>
      <c r="P84" s="89"/>
      <c r="Q84" s="89"/>
      <c r="R84" s="89"/>
      <c r="S84" s="89"/>
      <c r="T84" s="89"/>
    </row>
    <row r="85" spans="2:20" ht="14.25" x14ac:dyDescent="0.2">
      <c r="B85" s="36">
        <v>82</v>
      </c>
      <c r="C85" s="30" t="str">
        <f t="shared" si="2"/>
        <v>41327-82</v>
      </c>
      <c r="D85" s="88">
        <f t="shared" si="3"/>
        <v>41327</v>
      </c>
      <c r="E85" s="89"/>
      <c r="F85" s="89"/>
      <c r="G85" s="90"/>
      <c r="H85" s="19" t="str">
        <f>IF(G85="","",(VLOOKUP(G85,'Reference List'!$B$4:$D$166,2,FALSE)))</f>
        <v/>
      </c>
      <c r="I85" s="89"/>
      <c r="J85" s="91"/>
      <c r="K85" s="89"/>
      <c r="L85" s="89"/>
      <c r="M85" s="89"/>
      <c r="N85" s="30"/>
      <c r="O85" s="89"/>
      <c r="P85" s="89"/>
      <c r="Q85" s="89"/>
      <c r="R85" s="89"/>
      <c r="S85" s="89"/>
      <c r="T85" s="89"/>
    </row>
    <row r="86" spans="2:20" ht="14.25" x14ac:dyDescent="0.2">
      <c r="B86" s="36">
        <v>83</v>
      </c>
      <c r="C86" s="30" t="str">
        <f t="shared" si="2"/>
        <v>41327-83</v>
      </c>
      <c r="D86" s="88">
        <f t="shared" si="3"/>
        <v>41327</v>
      </c>
      <c r="E86" s="89"/>
      <c r="F86" s="89"/>
      <c r="G86" s="90"/>
      <c r="H86" s="19" t="str">
        <f>IF(G86="","",(VLOOKUP(G86,'Reference List'!$B$4:$D$166,2,FALSE)))</f>
        <v/>
      </c>
      <c r="I86" s="89"/>
      <c r="J86" s="91"/>
      <c r="K86" s="89"/>
      <c r="L86" s="89"/>
      <c r="M86" s="89"/>
      <c r="N86" s="30"/>
      <c r="O86" s="89"/>
      <c r="P86" s="89"/>
      <c r="Q86" s="89"/>
      <c r="R86" s="89"/>
      <c r="S86" s="89"/>
      <c r="T86" s="89"/>
    </row>
    <row r="87" spans="2:20" ht="14.25" x14ac:dyDescent="0.2">
      <c r="B87" s="36">
        <v>84</v>
      </c>
      <c r="C87" s="30" t="str">
        <f t="shared" si="2"/>
        <v>41327-84</v>
      </c>
      <c r="D87" s="88">
        <f t="shared" si="3"/>
        <v>41327</v>
      </c>
      <c r="E87" s="89"/>
      <c r="F87" s="89"/>
      <c r="G87" s="90"/>
      <c r="H87" s="19" t="str">
        <f>IF(G87="","",(VLOOKUP(G87,'Reference List'!$B$4:$D$166,2,FALSE)))</f>
        <v/>
      </c>
      <c r="I87" s="89"/>
      <c r="J87" s="91"/>
      <c r="K87" s="89"/>
      <c r="L87" s="89"/>
      <c r="M87" s="89"/>
      <c r="N87" s="30"/>
      <c r="O87" s="89"/>
      <c r="P87" s="89"/>
      <c r="Q87" s="89"/>
      <c r="R87" s="89"/>
      <c r="S87" s="89"/>
      <c r="T87" s="89"/>
    </row>
    <row r="88" spans="2:20" ht="14.25" x14ac:dyDescent="0.2">
      <c r="B88" s="36">
        <v>85</v>
      </c>
      <c r="C88" s="30" t="str">
        <f t="shared" si="2"/>
        <v>41327-85</v>
      </c>
      <c r="D88" s="88">
        <f t="shared" si="3"/>
        <v>41327</v>
      </c>
      <c r="E88" s="89"/>
      <c r="F88" s="89"/>
      <c r="G88" s="90"/>
      <c r="H88" s="19" t="str">
        <f>IF(G88="","",(VLOOKUP(G88,'Reference List'!$B$4:$D$166,2,FALSE)))</f>
        <v/>
      </c>
      <c r="I88" s="89"/>
      <c r="J88" s="91"/>
      <c r="K88" s="89"/>
      <c r="L88" s="89"/>
      <c r="M88" s="89"/>
      <c r="N88" s="30"/>
      <c r="O88" s="89"/>
      <c r="P88" s="89"/>
      <c r="Q88" s="89"/>
      <c r="R88" s="89"/>
      <c r="S88" s="89"/>
      <c r="T88" s="89"/>
    </row>
    <row r="89" spans="2:20" ht="14.25" x14ac:dyDescent="0.2">
      <c r="B89" s="36">
        <v>86</v>
      </c>
      <c r="C89" s="30" t="str">
        <f t="shared" si="2"/>
        <v>41327-86</v>
      </c>
      <c r="D89" s="88">
        <f t="shared" si="3"/>
        <v>41327</v>
      </c>
      <c r="E89" s="89"/>
      <c r="F89" s="89"/>
      <c r="G89" s="90"/>
      <c r="H89" s="19" t="str">
        <f>IF(G89="","",(VLOOKUP(G89,'Reference List'!$B$4:$D$166,2,FALSE)))</f>
        <v/>
      </c>
      <c r="I89" s="89"/>
      <c r="J89" s="91"/>
      <c r="K89" s="89"/>
      <c r="L89" s="89"/>
      <c r="M89" s="89"/>
      <c r="N89" s="30"/>
      <c r="O89" s="89"/>
      <c r="P89" s="89"/>
      <c r="Q89" s="89"/>
      <c r="R89" s="89"/>
      <c r="S89" s="89"/>
      <c r="T89" s="89"/>
    </row>
    <row r="90" spans="2:20" ht="14.25" x14ac:dyDescent="0.2">
      <c r="B90" s="36">
        <v>87</v>
      </c>
      <c r="C90" s="30" t="str">
        <f t="shared" si="2"/>
        <v>41327-87</v>
      </c>
      <c r="D90" s="88">
        <f t="shared" si="3"/>
        <v>41327</v>
      </c>
      <c r="E90" s="89"/>
      <c r="F90" s="89"/>
      <c r="G90" s="90"/>
      <c r="H90" s="19" t="str">
        <f>IF(G90="","",(VLOOKUP(G90,'Reference List'!$B$4:$D$166,2,FALSE)))</f>
        <v/>
      </c>
      <c r="I90" s="89"/>
      <c r="J90" s="91"/>
      <c r="K90" s="89"/>
      <c r="L90" s="89"/>
      <c r="M90" s="89"/>
      <c r="N90" s="30"/>
      <c r="O90" s="89"/>
      <c r="P90" s="89"/>
      <c r="Q90" s="89"/>
      <c r="R90" s="89"/>
      <c r="S90" s="89"/>
      <c r="T90" s="89"/>
    </row>
    <row r="91" spans="2:20" ht="14.25" x14ac:dyDescent="0.2">
      <c r="B91" s="36">
        <v>88</v>
      </c>
      <c r="C91" s="30" t="str">
        <f t="shared" si="2"/>
        <v>41327-88</v>
      </c>
      <c r="D91" s="88">
        <f t="shared" si="3"/>
        <v>41327</v>
      </c>
      <c r="E91" s="89"/>
      <c r="F91" s="89"/>
      <c r="G91" s="90"/>
      <c r="H91" s="19" t="str">
        <f>IF(G91="","",(VLOOKUP(G91,'Reference List'!$B$4:$D$166,2,FALSE)))</f>
        <v/>
      </c>
      <c r="I91" s="89"/>
      <c r="J91" s="91"/>
      <c r="K91" s="89"/>
      <c r="L91" s="89"/>
      <c r="M91" s="89"/>
      <c r="N91" s="30"/>
      <c r="O91" s="89"/>
      <c r="P91" s="89"/>
      <c r="Q91" s="89"/>
      <c r="R91" s="89"/>
      <c r="S91" s="89"/>
      <c r="T91" s="89"/>
    </row>
    <row r="92" spans="2:20" ht="14.25" x14ac:dyDescent="0.2">
      <c r="B92" s="36">
        <v>89</v>
      </c>
      <c r="C92" s="30" t="str">
        <f t="shared" si="2"/>
        <v>41327-89</v>
      </c>
      <c r="D92" s="88">
        <f t="shared" si="3"/>
        <v>41327</v>
      </c>
      <c r="E92" s="89"/>
      <c r="F92" s="89"/>
      <c r="G92" s="90"/>
      <c r="H92" s="19" t="str">
        <f>IF(G92="","",(VLOOKUP(G92,'Reference List'!$B$4:$D$166,2,FALSE)))</f>
        <v/>
      </c>
      <c r="I92" s="89"/>
      <c r="J92" s="91"/>
      <c r="K92" s="89"/>
      <c r="L92" s="89"/>
      <c r="M92" s="89"/>
      <c r="N92" s="30"/>
      <c r="O92" s="89"/>
      <c r="P92" s="89"/>
      <c r="Q92" s="89"/>
      <c r="R92" s="89"/>
      <c r="S92" s="89"/>
      <c r="T92" s="89"/>
    </row>
    <row r="93" spans="2:20" ht="14.25" x14ac:dyDescent="0.2">
      <c r="B93" s="36">
        <v>90</v>
      </c>
      <c r="C93" s="30" t="str">
        <f t="shared" si="2"/>
        <v>41327-90</v>
      </c>
      <c r="D93" s="88">
        <f t="shared" si="3"/>
        <v>41327</v>
      </c>
      <c r="E93" s="89"/>
      <c r="F93" s="89"/>
      <c r="G93" s="90"/>
      <c r="H93" s="19" t="str">
        <f>IF(G93="","",(VLOOKUP(G93,'Reference List'!$B$4:$D$166,2,FALSE)))</f>
        <v/>
      </c>
      <c r="I93" s="89"/>
      <c r="J93" s="91"/>
      <c r="K93" s="89"/>
      <c r="L93" s="89"/>
      <c r="M93" s="89"/>
      <c r="N93" s="30"/>
      <c r="O93" s="89"/>
      <c r="P93" s="89"/>
      <c r="Q93" s="89"/>
      <c r="R93" s="89"/>
      <c r="S93" s="89"/>
      <c r="T93" s="89"/>
    </row>
    <row r="94" spans="2:20" ht="14.25" x14ac:dyDescent="0.2">
      <c r="B94" s="36">
        <v>91</v>
      </c>
      <c r="C94" s="30" t="str">
        <f t="shared" si="2"/>
        <v>41327-91</v>
      </c>
      <c r="D94" s="88">
        <f t="shared" si="3"/>
        <v>41327</v>
      </c>
      <c r="E94" s="89"/>
      <c r="F94" s="89"/>
      <c r="G94" s="90"/>
      <c r="H94" s="19" t="str">
        <f>IF(G94="","",(VLOOKUP(G94,'Reference List'!$B$4:$D$166,2,FALSE)))</f>
        <v/>
      </c>
      <c r="I94" s="89"/>
      <c r="J94" s="91"/>
      <c r="K94" s="89"/>
      <c r="L94" s="89"/>
      <c r="M94" s="89"/>
      <c r="N94" s="30"/>
      <c r="O94" s="89"/>
      <c r="P94" s="89"/>
      <c r="Q94" s="89"/>
      <c r="R94" s="89"/>
      <c r="S94" s="89"/>
      <c r="T94" s="89"/>
    </row>
    <row r="95" spans="2:20" ht="14.25" x14ac:dyDescent="0.2">
      <c r="B95" s="36">
        <v>92</v>
      </c>
      <c r="C95" s="30" t="str">
        <f t="shared" si="2"/>
        <v>41327-92</v>
      </c>
      <c r="D95" s="88">
        <f t="shared" si="3"/>
        <v>41327</v>
      </c>
      <c r="E95" s="89"/>
      <c r="F95" s="89"/>
      <c r="G95" s="90"/>
      <c r="H95" s="19" t="str">
        <f>IF(G95="","",(VLOOKUP(G95,'Reference List'!$B$4:$D$166,2,FALSE)))</f>
        <v/>
      </c>
      <c r="I95" s="89"/>
      <c r="J95" s="91"/>
      <c r="K95" s="89"/>
      <c r="L95" s="89"/>
      <c r="M95" s="89"/>
      <c r="N95" s="30"/>
      <c r="O95" s="89"/>
      <c r="P95" s="89"/>
      <c r="Q95" s="89"/>
      <c r="R95" s="89"/>
      <c r="S95" s="89"/>
      <c r="T95" s="89"/>
    </row>
    <row r="96" spans="2:20" ht="14.25" x14ac:dyDescent="0.2">
      <c r="B96" s="36">
        <v>93</v>
      </c>
      <c r="C96" s="30" t="str">
        <f t="shared" si="2"/>
        <v>41327-93</v>
      </c>
      <c r="D96" s="88">
        <f t="shared" si="3"/>
        <v>41327</v>
      </c>
      <c r="E96" s="89"/>
      <c r="F96" s="89"/>
      <c r="G96" s="90"/>
      <c r="H96" s="19" t="str">
        <f>IF(G96="","",(VLOOKUP(G96,'Reference List'!$B$4:$D$166,2,FALSE)))</f>
        <v/>
      </c>
      <c r="I96" s="89"/>
      <c r="J96" s="91"/>
      <c r="K96" s="89"/>
      <c r="L96" s="89"/>
      <c r="M96" s="89"/>
      <c r="N96" s="30"/>
      <c r="O96" s="89"/>
      <c r="P96" s="89"/>
      <c r="Q96" s="89"/>
      <c r="R96" s="89"/>
      <c r="S96" s="89"/>
      <c r="T96" s="89"/>
    </row>
    <row r="97" spans="2:20" ht="14.25" x14ac:dyDescent="0.2">
      <c r="B97" s="36">
        <v>94</v>
      </c>
      <c r="C97" s="30" t="str">
        <f t="shared" si="2"/>
        <v>41327-94</v>
      </c>
      <c r="D97" s="88">
        <f t="shared" si="3"/>
        <v>41327</v>
      </c>
      <c r="E97" s="89"/>
      <c r="F97" s="89"/>
      <c r="G97" s="90"/>
      <c r="H97" s="19" t="str">
        <f>IF(G97="","",(VLOOKUP(G97,'Reference List'!$B$4:$D$166,2,FALSE)))</f>
        <v/>
      </c>
      <c r="I97" s="89"/>
      <c r="J97" s="91"/>
      <c r="K97" s="89"/>
      <c r="L97" s="89"/>
      <c r="M97" s="89"/>
      <c r="N97" s="30"/>
      <c r="O97" s="89"/>
      <c r="P97" s="89"/>
      <c r="Q97" s="89"/>
      <c r="R97" s="89"/>
      <c r="S97" s="89"/>
      <c r="T97" s="89"/>
    </row>
    <row r="98" spans="2:20" ht="14.25" x14ac:dyDescent="0.2">
      <c r="B98" s="36">
        <v>95</v>
      </c>
      <c r="C98" s="30" t="str">
        <f t="shared" si="2"/>
        <v>41327-95</v>
      </c>
      <c r="D98" s="88">
        <f t="shared" si="3"/>
        <v>41327</v>
      </c>
      <c r="E98" s="89"/>
      <c r="F98" s="89"/>
      <c r="G98" s="90"/>
      <c r="H98" s="19" t="str">
        <f>IF(G98="","",(VLOOKUP(G98,'Reference List'!$B$4:$D$166,2,FALSE)))</f>
        <v/>
      </c>
      <c r="I98" s="89"/>
      <c r="J98" s="91"/>
      <c r="K98" s="89"/>
      <c r="L98" s="89"/>
      <c r="M98" s="89"/>
      <c r="N98" s="30"/>
      <c r="O98" s="89"/>
      <c r="P98" s="89"/>
      <c r="Q98" s="89"/>
      <c r="R98" s="89"/>
      <c r="S98" s="89"/>
      <c r="T98" s="89"/>
    </row>
    <row r="99" spans="2:20" ht="14.25" x14ac:dyDescent="0.2">
      <c r="B99" s="36">
        <v>96</v>
      </c>
      <c r="C99" s="30" t="str">
        <f t="shared" si="2"/>
        <v>41327-96</v>
      </c>
      <c r="D99" s="88">
        <f t="shared" si="3"/>
        <v>41327</v>
      </c>
      <c r="E99" s="89"/>
      <c r="F99" s="89"/>
      <c r="G99" s="90"/>
      <c r="H99" s="19" t="str">
        <f>IF(G99="","",(VLOOKUP(G99,'Reference List'!$B$4:$D$166,2,FALSE)))</f>
        <v/>
      </c>
      <c r="I99" s="89"/>
      <c r="J99" s="91"/>
      <c r="K99" s="89"/>
      <c r="L99" s="89"/>
      <c r="M99" s="89"/>
      <c r="N99" s="30"/>
      <c r="O99" s="89"/>
      <c r="P99" s="89"/>
      <c r="Q99" s="89"/>
      <c r="R99" s="89"/>
      <c r="S99" s="89"/>
      <c r="T99" s="89"/>
    </row>
    <row r="100" spans="2:20" ht="14.25" x14ac:dyDescent="0.2">
      <c r="B100" s="36">
        <v>97</v>
      </c>
      <c r="C100" s="30" t="str">
        <f t="shared" si="2"/>
        <v>41327-97</v>
      </c>
      <c r="D100" s="88">
        <f t="shared" si="3"/>
        <v>41327</v>
      </c>
      <c r="E100" s="89"/>
      <c r="F100" s="89"/>
      <c r="G100" s="90"/>
      <c r="H100" s="19" t="str">
        <f>IF(G100="","",(VLOOKUP(G100,'Reference List'!$B$4:$D$166,2,FALSE)))</f>
        <v/>
      </c>
      <c r="I100" s="89"/>
      <c r="J100" s="91"/>
      <c r="K100" s="89"/>
      <c r="L100" s="89"/>
      <c r="M100" s="89"/>
      <c r="N100" s="30"/>
      <c r="O100" s="89"/>
      <c r="P100" s="89"/>
      <c r="Q100" s="89"/>
      <c r="R100" s="89"/>
      <c r="S100" s="89"/>
      <c r="T100" s="89"/>
    </row>
    <row r="101" spans="2:20" ht="14.25" x14ac:dyDescent="0.2">
      <c r="B101" s="36">
        <v>98</v>
      </c>
      <c r="C101" s="30" t="str">
        <f t="shared" si="2"/>
        <v>41327-98</v>
      </c>
      <c r="D101" s="88">
        <f t="shared" si="3"/>
        <v>41327</v>
      </c>
      <c r="E101" s="89"/>
      <c r="F101" s="89"/>
      <c r="G101" s="90"/>
      <c r="H101" s="19" t="str">
        <f>IF(G101="","",(VLOOKUP(G101,'Reference List'!$B$4:$D$166,2,FALSE)))</f>
        <v/>
      </c>
      <c r="I101" s="89"/>
      <c r="J101" s="91"/>
      <c r="K101" s="89"/>
      <c r="L101" s="89"/>
      <c r="M101" s="89"/>
      <c r="N101" s="30"/>
      <c r="O101" s="89"/>
      <c r="P101" s="89"/>
      <c r="Q101" s="89"/>
      <c r="R101" s="89"/>
      <c r="S101" s="89"/>
      <c r="T101" s="89"/>
    </row>
    <row r="102" spans="2:20" ht="14.25" x14ac:dyDescent="0.2">
      <c r="B102" s="36">
        <v>99</v>
      </c>
      <c r="C102" s="30" t="str">
        <f t="shared" si="2"/>
        <v>41327-99</v>
      </c>
      <c r="D102" s="88">
        <f t="shared" si="3"/>
        <v>41327</v>
      </c>
      <c r="E102" s="89"/>
      <c r="F102" s="89"/>
      <c r="G102" s="90"/>
      <c r="H102" s="19" t="str">
        <f>IF(G102="","",(VLOOKUP(G102,'Reference List'!$B$4:$D$166,2,FALSE)))</f>
        <v/>
      </c>
      <c r="I102" s="89"/>
      <c r="J102" s="91"/>
      <c r="K102" s="89"/>
      <c r="L102" s="89"/>
      <c r="M102" s="89"/>
      <c r="N102" s="30"/>
      <c r="O102" s="89"/>
      <c r="P102" s="89"/>
      <c r="Q102" s="89"/>
      <c r="R102" s="89"/>
      <c r="S102" s="89"/>
      <c r="T102" s="89"/>
    </row>
    <row r="103" spans="2:20" ht="14.25" x14ac:dyDescent="0.2">
      <c r="B103" s="36">
        <v>100</v>
      </c>
      <c r="C103" s="30" t="str">
        <f t="shared" si="2"/>
        <v>41327-100</v>
      </c>
      <c r="D103" s="88">
        <f t="shared" si="3"/>
        <v>41327</v>
      </c>
      <c r="E103" s="89"/>
      <c r="F103" s="89"/>
      <c r="G103" s="90"/>
      <c r="H103" s="19" t="str">
        <f>IF(G103="","",(VLOOKUP(G103,'Reference List'!$B$4:$D$166,2,FALSE)))</f>
        <v/>
      </c>
      <c r="I103" s="89"/>
      <c r="J103" s="91"/>
      <c r="K103" s="89"/>
      <c r="L103" s="89"/>
      <c r="M103" s="89"/>
      <c r="N103" s="30"/>
      <c r="O103" s="89"/>
      <c r="P103" s="89"/>
      <c r="Q103" s="89"/>
      <c r="R103" s="89"/>
      <c r="S103" s="89"/>
      <c r="T103" s="89"/>
    </row>
    <row r="104" spans="2:20" ht="14.25" x14ac:dyDescent="0.2">
      <c r="B104" s="36">
        <v>101</v>
      </c>
      <c r="C104" s="30" t="str">
        <f t="shared" si="2"/>
        <v>41327-101</v>
      </c>
      <c r="D104" s="88">
        <f t="shared" si="3"/>
        <v>41327</v>
      </c>
      <c r="E104" s="89"/>
      <c r="F104" s="89"/>
      <c r="G104" s="90"/>
      <c r="H104" s="19" t="str">
        <f>IF(G104="","",(VLOOKUP(G104,'Reference List'!$B$4:$D$166,2,FALSE)))</f>
        <v/>
      </c>
      <c r="I104" s="89"/>
      <c r="J104" s="91"/>
      <c r="K104" s="89"/>
      <c r="L104" s="89"/>
      <c r="M104" s="89"/>
      <c r="N104" s="30"/>
      <c r="O104" s="89"/>
      <c r="P104" s="89"/>
      <c r="Q104" s="89"/>
      <c r="R104" s="89"/>
      <c r="S104" s="89"/>
      <c r="T104" s="89"/>
    </row>
  </sheetData>
  <dataConsolidate/>
  <customSheetViews>
    <customSheetView guid="{6CBF310A-A1BE-46B5-918C-2F2608E5F889}" scale="50" showPageBreaks="1" fitToPage="1" printArea="1" showRuler="0">
      <selection activeCell="H45" sqref="H45"/>
      <pageMargins left="0.75" right="0.75" top="1" bottom="1" header="0.5" footer="0.5"/>
      <pageSetup paperSize="9" scale="46" fitToHeight="0" orientation="landscape" r:id="rId1"/>
      <headerFooter alignWithMargins="0"/>
    </customSheetView>
    <customSheetView guid="{932959AD-57BE-4F19-9A63-1790755BC301}" scale="50" showPageBreaks="1" fitToPage="1" printArea="1" showRuler="0">
      <selection activeCell="H45" sqref="H45"/>
      <pageMargins left="0.75" right="0.75" top="1" bottom="1" header="0.5" footer="0.5"/>
      <pageSetup paperSize="9" scale="46" fitToHeight="0" orientation="landscape" r:id="rId2"/>
      <headerFooter alignWithMargins="0"/>
    </customSheetView>
    <customSheetView guid="{369A686F-D18F-4ED2-99C4-317DC1AD7F50}" scale="50" fitToPage="1" showRuler="0">
      <selection activeCell="H45" sqref="H45"/>
      <pageMargins left="0.75" right="0.75" top="1" bottom="1" header="0.5" footer="0.5"/>
      <pageSetup paperSize="9" scale="46" fitToHeight="0" orientation="landscape" r:id="rId3"/>
      <headerFooter alignWithMargins="0"/>
    </customSheetView>
    <customSheetView guid="{EF0ABB43-B993-46C7-99BE-573267E24723}" scale="50" showPageBreaks="1" fitToPage="1" printArea="1" showRuler="0">
      <selection activeCell="H45" sqref="H45"/>
      <pageMargins left="0.75" right="0.75" top="1" bottom="1" header="0.5" footer="0.5"/>
      <pageSetup paperSize="9" scale="46" fitToHeight="0" orientation="landscape" r:id="rId4"/>
      <headerFooter alignWithMargins="0"/>
    </customSheetView>
  </customSheetViews>
  <mergeCells count="1">
    <mergeCell ref="L2:Q2"/>
  </mergeCells>
  <conditionalFormatting sqref="H1:H8 H10:H65536">
    <cfRule type="cellIs" dxfId="5" priority="4" operator="equal">
      <formula>#N/A</formula>
    </cfRule>
  </conditionalFormatting>
  <conditionalFormatting sqref="H4:H8">
    <cfRule type="cellIs" dxfId="4" priority="3" operator="equal">
      <formula>#N/A</formula>
    </cfRule>
  </conditionalFormatting>
  <conditionalFormatting sqref="H9">
    <cfRule type="cellIs" dxfId="3" priority="2" operator="equal">
      <formula>#N/A</formula>
    </cfRule>
  </conditionalFormatting>
  <conditionalFormatting sqref="H9">
    <cfRule type="cellIs" dxfId="2" priority="1" operator="equal">
      <formula>#N/A</formula>
    </cfRule>
  </conditionalFormatting>
  <pageMargins left="0.75" right="0.75" top="1" bottom="1" header="0.5" footer="0.5"/>
  <pageSetup paperSize="9" scale="46" fitToHeight="0" orientation="landscape" r:id="rId5"/>
  <headerFooter alignWithMargins="0"/>
  <drawing r:id="rId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5"/>
    <pageSetUpPr fitToPage="1"/>
  </sheetPr>
  <dimension ref="B1:I25"/>
  <sheetViews>
    <sheetView showRuler="0" zoomScale="55" zoomScaleNormal="85" workbookViewId="0">
      <selection activeCell="K10" sqref="K10"/>
    </sheetView>
  </sheetViews>
  <sheetFormatPr defaultColWidth="9.140625" defaultRowHeight="12.75" x14ac:dyDescent="0.2"/>
  <cols>
    <col min="1" max="1" width="3.85546875" style="2" customWidth="1"/>
    <col min="2" max="2" width="25.42578125" style="2" customWidth="1"/>
    <col min="3" max="3" width="19" style="2" customWidth="1"/>
    <col min="4" max="4" width="44" style="2" customWidth="1"/>
    <col min="5" max="5" width="6.28515625" style="2" customWidth="1"/>
    <col min="6" max="7" width="9.140625" style="2" customWidth="1"/>
    <col min="8" max="16384" width="9.140625" style="2"/>
  </cols>
  <sheetData>
    <row r="1" spans="2:4" ht="13.5" thickBot="1" x14ac:dyDescent="0.25"/>
    <row r="2" spans="2:4" x14ac:dyDescent="0.2">
      <c r="B2" s="54"/>
      <c r="C2" s="55"/>
      <c r="D2" s="56"/>
    </row>
    <row r="3" spans="2:4" ht="35.25" customHeight="1" x14ac:dyDescent="0.2">
      <c r="B3" s="57"/>
      <c r="D3" s="58"/>
    </row>
    <row r="4" spans="2:4" ht="66.75" customHeight="1" thickBot="1" x14ac:dyDescent="0.75">
      <c r="B4" s="59"/>
      <c r="C4" s="60"/>
      <c r="D4" s="61"/>
    </row>
    <row r="5" spans="2:4" ht="45" customHeight="1" x14ac:dyDescent="0.2">
      <c r="B5" s="62"/>
      <c r="C5" s="63" t="s">
        <v>20</v>
      </c>
      <c r="D5" s="64" t="s">
        <v>33</v>
      </c>
    </row>
    <row r="6" spans="2:4" ht="28.5" customHeight="1" x14ac:dyDescent="0.2">
      <c r="B6" s="349" t="s">
        <v>21</v>
      </c>
      <c r="C6" s="350"/>
      <c r="D6" s="351"/>
    </row>
    <row r="7" spans="2:4" ht="27.75" customHeight="1" thickBot="1" x14ac:dyDescent="0.25">
      <c r="B7" s="352"/>
      <c r="C7" s="353"/>
      <c r="D7" s="354"/>
    </row>
    <row r="8" spans="2:4" ht="5.25" customHeight="1" thickBot="1" x14ac:dyDescent="0.4">
      <c r="B8" s="62"/>
      <c r="C8" s="65"/>
      <c r="D8" s="66"/>
    </row>
    <row r="9" spans="2:4" ht="29.25" customHeight="1" x14ac:dyDescent="0.6">
      <c r="B9" s="67" t="s">
        <v>22</v>
      </c>
      <c r="C9" s="68"/>
      <c r="D9" s="69"/>
    </row>
    <row r="10" spans="2:4" ht="68.25" customHeight="1" x14ac:dyDescent="0.2">
      <c r="B10" s="355" t="e">
        <f>VLOOKUP($D$5,#REF!,5,FALSE)</f>
        <v>#REF!</v>
      </c>
      <c r="C10" s="356"/>
      <c r="D10" s="357"/>
    </row>
    <row r="11" spans="2:4" ht="3.75" customHeight="1" x14ac:dyDescent="0.6">
      <c r="B11" s="70"/>
      <c r="C11" s="65"/>
      <c r="D11" s="66"/>
    </row>
    <row r="12" spans="2:4" ht="39.950000000000003" customHeight="1" thickBot="1" x14ac:dyDescent="0.25">
      <c r="B12" s="358" t="e">
        <f>VLOOKUP($D$5,#REF!,6,FALSE)</f>
        <v>#REF!</v>
      </c>
      <c r="C12" s="359"/>
      <c r="D12" s="360"/>
    </row>
    <row r="13" spans="2:4" ht="6" customHeight="1" thickBot="1" x14ac:dyDescent="0.65">
      <c r="B13" s="71"/>
      <c r="C13" s="65"/>
      <c r="D13" s="72"/>
    </row>
    <row r="14" spans="2:4" ht="39.950000000000003" customHeight="1" x14ac:dyDescent="0.6">
      <c r="B14" s="67" t="s">
        <v>23</v>
      </c>
      <c r="C14" s="73"/>
      <c r="D14" s="74" t="e">
        <f>VLOOKUP($D$5,#REF!,2,FALSE)</f>
        <v>#REF!</v>
      </c>
    </row>
    <row r="15" spans="2:4" ht="39.950000000000003" customHeight="1" x14ac:dyDescent="0.6">
      <c r="B15" s="71" t="s">
        <v>24</v>
      </c>
      <c r="C15" s="361" t="e">
        <f>VLOOKUP($D$5,#REF!,4,FALSE)</f>
        <v>#REF!</v>
      </c>
      <c r="D15" s="362"/>
    </row>
    <row r="16" spans="2:4" ht="6" customHeight="1" x14ac:dyDescent="0.6">
      <c r="B16" s="71"/>
      <c r="C16" s="65"/>
      <c r="D16" s="66"/>
    </row>
    <row r="17" spans="2:9" ht="39.950000000000003" hidden="1" customHeight="1" x14ac:dyDescent="0.6">
      <c r="B17" s="71" t="s">
        <v>25</v>
      </c>
      <c r="C17" s="300"/>
      <c r="D17" s="301"/>
    </row>
    <row r="18" spans="2:9" ht="6" customHeight="1" x14ac:dyDescent="0.6">
      <c r="B18" s="71"/>
      <c r="C18" s="65"/>
      <c r="D18" s="66"/>
    </row>
    <row r="19" spans="2:9" ht="39.950000000000003" customHeight="1" x14ac:dyDescent="0.6">
      <c r="B19" s="75" t="s">
        <v>26</v>
      </c>
      <c r="C19" s="65"/>
      <c r="D19" s="76" t="e">
        <f>VLOOKUP($D$5,#REF!,8,FALSE)</f>
        <v>#REF!</v>
      </c>
    </row>
    <row r="20" spans="2:9" ht="39.950000000000003" customHeight="1" thickBot="1" x14ac:dyDescent="0.65">
      <c r="B20" s="77" t="s">
        <v>27</v>
      </c>
      <c r="C20" s="78"/>
      <c r="D20" s="79" t="e">
        <f>VLOOKUP($D$5,#REF!,3,FALSE)</f>
        <v>#REF!</v>
      </c>
      <c r="E20" s="65"/>
      <c r="F20" s="65"/>
      <c r="G20" s="65"/>
      <c r="H20" s="65"/>
      <c r="I20" s="65"/>
    </row>
    <row r="21" spans="2:9" ht="6" customHeight="1" thickBot="1" x14ac:dyDescent="0.65">
      <c r="B21" s="71"/>
      <c r="C21" s="65"/>
      <c r="D21" s="66"/>
    </row>
    <row r="22" spans="2:9" ht="39.950000000000003" customHeight="1" x14ac:dyDescent="0.6">
      <c r="B22" s="67" t="s">
        <v>28</v>
      </c>
      <c r="C22" s="68"/>
      <c r="D22" s="80" t="e">
        <f>VLOOKUP($D$5,#REF!,7,FALSE)</f>
        <v>#REF!</v>
      </c>
    </row>
    <row r="23" spans="2:9" ht="39.950000000000003" customHeight="1" x14ac:dyDescent="0.6">
      <c r="B23" s="71" t="s">
        <v>29</v>
      </c>
      <c r="C23" s="65"/>
      <c r="D23" s="81" t="s">
        <v>34</v>
      </c>
    </row>
    <row r="24" spans="2:9" ht="39.950000000000003" customHeight="1" thickBot="1" x14ac:dyDescent="0.45">
      <c r="B24" s="346" t="e">
        <f>VLOOKUP(B10,'Reference List'!B3:D166,3,FALSE)</f>
        <v>#REF!</v>
      </c>
      <c r="C24" s="347"/>
      <c r="D24" s="348"/>
    </row>
    <row r="25" spans="2:9" ht="6" customHeight="1" x14ac:dyDescent="0.6">
      <c r="B25" s="82"/>
      <c r="C25" s="65"/>
      <c r="D25" s="65"/>
    </row>
  </sheetData>
  <customSheetViews>
    <customSheetView guid="{6CBF310A-A1BE-46B5-918C-2F2608E5F889}" scale="55" showPageBreaks="1" fitToPage="1" printArea="1" hiddenRows="1" showRuler="0">
      <selection activeCell="K10" sqref="K10"/>
      <pageMargins left="0.75" right="0.75" top="1" bottom="1" header="0.5" footer="0.5"/>
      <pageSetup paperSize="9" scale="93" fitToHeight="0" orientation="portrait" r:id="rId1"/>
      <headerFooter alignWithMargins="0">
        <oddFooter>&amp;L&amp;Z&amp;F</oddFooter>
      </headerFooter>
    </customSheetView>
    <customSheetView guid="{932959AD-57BE-4F19-9A63-1790755BC301}" scale="55" showPageBreaks="1" fitToPage="1" printArea="1" hiddenRows="1" showRuler="0">
      <selection activeCell="K10" sqref="K10"/>
      <pageMargins left="0.75" right="0.75" top="1" bottom="1" header="0.5" footer="0.5"/>
      <pageSetup paperSize="9" scale="93" fitToHeight="0" orientation="portrait" r:id="rId2"/>
      <headerFooter alignWithMargins="0">
        <oddFooter>&amp;L&amp;Z&amp;F</oddFooter>
      </headerFooter>
    </customSheetView>
    <customSheetView guid="{369A686F-D18F-4ED2-99C4-317DC1AD7F50}" scale="55" fitToPage="1" hiddenRows="1" showRuler="0">
      <selection activeCell="K10" sqref="K10"/>
      <pageMargins left="0.75" right="0.75" top="1" bottom="1" header="0.5" footer="0.5"/>
      <pageSetup paperSize="9" scale="93" fitToHeight="0" orientation="portrait" r:id="rId3"/>
      <headerFooter alignWithMargins="0">
        <oddFooter>&amp;L&amp;Z&amp;F</oddFooter>
      </headerFooter>
    </customSheetView>
    <customSheetView guid="{EF0ABB43-B993-46C7-99BE-573267E24723}" scale="85" showPageBreaks="1" fitToPage="1" printArea="1" hiddenRows="1" showRuler="0" topLeftCell="A2">
      <selection activeCell="H4" sqref="H4"/>
      <pageMargins left="0.75" right="0.75" top="1" bottom="1" header="0.5" footer="0.5"/>
      <pageSetup paperSize="9" scale="93" fitToHeight="0" orientation="portrait" r:id="rId4"/>
      <headerFooter alignWithMargins="0">
        <oddFooter>&amp;L&amp;Z&amp;F</oddFooter>
      </headerFooter>
    </customSheetView>
  </customSheetViews>
  <mergeCells count="6">
    <mergeCell ref="B24:D24"/>
    <mergeCell ref="B6:D7"/>
    <mergeCell ref="B10:D10"/>
    <mergeCell ref="B12:D12"/>
    <mergeCell ref="C15:D15"/>
    <mergeCell ref="C17:D17"/>
  </mergeCells>
  <conditionalFormatting sqref="D23">
    <cfRule type="cellIs" dxfId="1" priority="1" operator="equal">
      <formula>0</formula>
    </cfRule>
  </conditionalFormatting>
  <pageMargins left="0.75" right="0.75" top="1" bottom="1" header="0.5" footer="0.5"/>
  <pageSetup paperSize="9" scale="93" fitToHeight="0" orientation="portrait" r:id="rId5"/>
  <headerFooter alignWithMargins="0">
    <oddFooter>&amp;L&amp;Z&amp;F</oddFooter>
  </headerFooter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Cover Sheet</vt:lpstr>
      <vt:lpstr>Monday</vt:lpstr>
      <vt:lpstr>Tuesday</vt:lpstr>
      <vt:lpstr>Wednesday</vt:lpstr>
      <vt:lpstr>Thursday</vt:lpstr>
      <vt:lpstr>Friday</vt:lpstr>
      <vt:lpstr>Saturday</vt:lpstr>
      <vt:lpstr>Reference List</vt:lpstr>
      <vt:lpstr>BULK ORDERS</vt:lpstr>
      <vt:lpstr>SMALLS</vt:lpstr>
      <vt:lpstr>TEMPLATE</vt:lpstr>
      <vt:lpstr>COVER SHEET TEMPLATE</vt:lpstr>
      <vt:lpstr>'Cover Sheet'!Print_Area</vt:lpstr>
      <vt:lpstr>'COVER SHEET TEMPLATE'!Print_Area</vt:lpstr>
      <vt:lpstr>Friday!Print_Area</vt:lpstr>
      <vt:lpstr>Monday!Print_Area</vt:lpstr>
      <vt:lpstr>Saturday!Print_Area</vt:lpstr>
      <vt:lpstr>TEMPLATE!Print_Area</vt:lpstr>
      <vt:lpstr>Thursday!Print_Area</vt:lpstr>
      <vt:lpstr>Tuesday!Print_Area</vt:lpstr>
      <vt:lpstr>Wednesday!Print_Area</vt:lpstr>
      <vt:lpstr>TEMP</vt:lpstr>
    </vt:vector>
  </TitlesOfParts>
  <Company>Linfox Transport Australia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Arnott's Despatch</dc:title>
  <dc:creator>Jason Warburton</dc:creator>
  <cp:lastModifiedBy>Matthew Smith</cp:lastModifiedBy>
  <cp:lastPrinted>2020-01-02T00:11:37Z</cp:lastPrinted>
  <dcterms:created xsi:type="dcterms:W3CDTF">2013-02-19T02:30:07Z</dcterms:created>
  <dcterms:modified xsi:type="dcterms:W3CDTF">2020-10-12T02:16:39Z</dcterms:modified>
</cp:coreProperties>
</file>