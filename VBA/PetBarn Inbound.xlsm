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et Barn\Inbound\"/>
    </mc:Choice>
  </mc:AlternateContent>
  <xr:revisionPtr revIDLastSave="0" documentId="13_ncr:1_{95BD8421-05F4-4F06-B6C2-248672F56DF0}" xr6:coauthVersionLast="36" xr6:coauthVersionMax="45" xr10:uidLastSave="{00000000-0000-0000-0000-000000000000}"/>
  <bookViews>
    <workbookView xWindow="-120" yWindow="-120" windowWidth="29040" windowHeight="15840" xr2:uid="{4005888B-BC4D-4CBD-A880-1D874809C03C}"/>
  </bookViews>
  <sheets>
    <sheet name="Inbound" sheetId="3" r:id="rId1"/>
    <sheet name="Open POs" sheetId="4" state="hidden" r:id="rId2"/>
  </sheets>
  <definedNames>
    <definedName name="ExternalData_1" localSheetId="1" hidden="1">'Open POs'!$A$1:$I$20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35" i="3" l="1"/>
  <c r="J132" i="3"/>
  <c r="J130" i="3"/>
  <c r="J129" i="3"/>
  <c r="J136" i="3"/>
  <c r="J134" i="3"/>
  <c r="J133" i="3"/>
  <c r="J131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K135" i="3"/>
  <c r="K132" i="3"/>
  <c r="K130" i="3"/>
  <c r="K129" i="3"/>
  <c r="K131" i="3" l="1"/>
  <c r="K126" i="3" l="1"/>
  <c r="K118" i="3" l="1"/>
  <c r="K128" i="3"/>
  <c r="K125" i="3"/>
  <c r="K127" i="3" l="1"/>
  <c r="K112" i="3" l="1"/>
  <c r="K113" i="3"/>
  <c r="K111" i="3" l="1"/>
  <c r="K134" i="3" l="1"/>
  <c r="K122" i="3"/>
  <c r="K114" i="3"/>
  <c r="K115" i="3"/>
  <c r="K121" i="3"/>
  <c r="K124" i="3" l="1"/>
  <c r="K116" i="3"/>
  <c r="K110" i="3" l="1"/>
  <c r="K108" i="3" l="1"/>
  <c r="K109" i="3" l="1"/>
  <c r="K120" i="3" l="1"/>
  <c r="K117" i="3"/>
  <c r="K107" i="3"/>
  <c r="K105" i="3" l="1"/>
  <c r="K104" i="3" l="1"/>
  <c r="K103" i="3"/>
  <c r="K106" i="3" l="1"/>
  <c r="K102" i="3"/>
  <c r="K101" i="3" l="1"/>
  <c r="K100" i="3" l="1"/>
  <c r="K99" i="3"/>
  <c r="K119" i="3" l="1"/>
  <c r="K123" i="3" l="1"/>
  <c r="K96" i="3"/>
  <c r="K92" i="3" l="1"/>
  <c r="K94" i="3"/>
  <c r="K93" i="3"/>
  <c r="K97" i="3" l="1"/>
  <c r="K90" i="3" l="1"/>
  <c r="K95" i="3" l="1"/>
  <c r="K136" i="3" l="1"/>
  <c r="K88" i="3"/>
  <c r="K87" i="3"/>
  <c r="K89" i="3" l="1"/>
  <c r="K86" i="3" l="1"/>
  <c r="K84" i="3" l="1"/>
  <c r="K80" i="3"/>
  <c r="K85" i="3"/>
  <c r="K81" i="3" l="1"/>
  <c r="K133" i="3" l="1"/>
  <c r="K79" i="3" l="1"/>
  <c r="K78" i="3" l="1"/>
  <c r="K77" i="3"/>
  <c r="K76" i="3"/>
  <c r="K91" i="3" l="1"/>
  <c r="K74" i="3"/>
  <c r="K73" i="3"/>
  <c r="K70" i="3" l="1"/>
  <c r="K71" i="3"/>
  <c r="K69" i="3"/>
  <c r="K72" i="3"/>
  <c r="K75" i="3" l="1"/>
  <c r="K98" i="3" l="1"/>
  <c r="K65" i="3"/>
  <c r="K68" i="3" l="1"/>
  <c r="K66" i="3"/>
  <c r="K67" i="3" l="1"/>
  <c r="K59" i="3" l="1"/>
  <c r="K63" i="3" l="1"/>
  <c r="K62" i="3"/>
  <c r="K58" i="3"/>
  <c r="K61" i="3" l="1"/>
  <c r="K60" i="3" l="1"/>
  <c r="K56" i="3"/>
  <c r="K57" i="3" l="1"/>
  <c r="K55" i="3"/>
  <c r="K54" i="3" l="1"/>
  <c r="K83" i="3" l="1"/>
  <c r="K82" i="3"/>
  <c r="K50" i="3"/>
  <c r="K51" i="3" l="1"/>
  <c r="K53" i="3"/>
  <c r="K49" i="3"/>
  <c r="K48" i="3" l="1"/>
  <c r="K47" i="3" l="1"/>
  <c r="K46" i="3" l="1"/>
  <c r="K44" i="3"/>
  <c r="K64" i="3" l="1"/>
  <c r="K52" i="3"/>
  <c r="K42" i="3"/>
  <c r="K43" i="3" l="1"/>
  <c r="K41" i="3" l="1"/>
  <c r="K39" i="3" l="1"/>
  <c r="K32" i="3" l="1"/>
  <c r="K36" i="3"/>
  <c r="K34" i="3"/>
  <c r="K33" i="3"/>
  <c r="K38" i="3"/>
  <c r="K37" i="3"/>
  <c r="K35" i="3"/>
  <c r="K40" i="3"/>
  <c r="K45" i="3" l="1"/>
  <c r="K28" i="3"/>
  <c r="K27" i="3" l="1"/>
  <c r="K29" i="3"/>
  <c r="K30" i="3" l="1"/>
  <c r="K31" i="3"/>
  <c r="K24" i="3" l="1"/>
  <c r="K26" i="3" l="1"/>
  <c r="K25" i="3" l="1"/>
  <c r="K22" i="3" l="1"/>
  <c r="K19" i="3"/>
  <c r="K18" i="3" l="1"/>
  <c r="K20" i="3"/>
  <c r="K17" i="3" l="1"/>
  <c r="K21" i="3"/>
  <c r="K15" i="3" l="1"/>
  <c r="K13" i="3" l="1"/>
  <c r="K12" i="3"/>
  <c r="K11" i="3"/>
  <c r="K14" i="3" l="1"/>
  <c r="K2" i="3" l="1"/>
  <c r="K3" i="3"/>
  <c r="K6" i="3"/>
  <c r="K9" i="3"/>
  <c r="K5" i="3"/>
  <c r="K4" i="3"/>
  <c r="K7" i="3"/>
  <c r="K10" i="3"/>
  <c r="K8" i="3"/>
  <c r="K16" i="3"/>
  <c r="K2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76B7E8-85C1-49B6-8BB5-A089CD765702}" keepAlive="1" name="Query - Perth" description="Connection to the 'Perth' query in the workbook." type="5" refreshedVersion="6" saveData="1">
    <dbPr connection="Provider=Microsoft.Mashup.OleDb.1;Data Source=$Workbook$;Location=Perth;Extended Properties=&quot;&quot;" command="SELECT * FROM [Perth]"/>
  </connection>
</connections>
</file>

<file path=xl/sharedStrings.xml><?xml version="1.0" encoding="utf-8"?>
<sst xmlns="http://schemas.openxmlformats.org/spreadsheetml/2006/main" count="762" uniqueCount="163">
  <si>
    <t>PO no</t>
  </si>
  <si>
    <t>Supplier</t>
  </si>
  <si>
    <t>Supplier name</t>
  </si>
  <si>
    <t>Store</t>
  </si>
  <si>
    <t>Store name</t>
  </si>
  <si>
    <t>Order Date</t>
  </si>
  <si>
    <t>Order Day</t>
  </si>
  <si>
    <t>Expected Receipt Date</t>
  </si>
  <si>
    <t>Delivery Day</t>
  </si>
  <si>
    <t>NATURES BEST WA</t>
  </si>
  <si>
    <t>PB PERTH DC</t>
  </si>
  <si>
    <t>Tuesday</t>
  </si>
  <si>
    <t>HILLS PET NUTRITION PTY LTD PERTH</t>
  </si>
  <si>
    <t>MARS PETCARE AUSTRALIA BATHURST PERTH</t>
  </si>
  <si>
    <t>Monday</t>
  </si>
  <si>
    <t>Friday</t>
  </si>
  <si>
    <t>REAL PET FOOD DUBBO</t>
  </si>
  <si>
    <t>NESTLE PURINA PETCARE BLAYNEY PERTH</t>
  </si>
  <si>
    <t>Wednesday</t>
  </si>
  <si>
    <t>MARS PETCARE AUSTRALIA WODONGA PERTH</t>
  </si>
  <si>
    <t>Unloading Date</t>
  </si>
  <si>
    <t>NESTLE PURINA PETCARE ARNDELL PARK PERTH</t>
  </si>
  <si>
    <t>POR1322575</t>
  </si>
  <si>
    <t>POR1322573</t>
  </si>
  <si>
    <t>POR1325604</t>
  </si>
  <si>
    <t>POR1325401</t>
  </si>
  <si>
    <t>POR1323158</t>
  </si>
  <si>
    <t>POR1315617</t>
  </si>
  <si>
    <t>POR1326181</t>
  </si>
  <si>
    <t>POR1325607</t>
  </si>
  <si>
    <t>POR1325627</t>
  </si>
  <si>
    <t>POR1326180</t>
  </si>
  <si>
    <t>POR1324482</t>
  </si>
  <si>
    <t>COPRICE CAT FOOD WA</t>
  </si>
  <si>
    <t>Week Ending</t>
  </si>
  <si>
    <t>POR1327779</t>
  </si>
  <si>
    <t>POR1328741</t>
  </si>
  <si>
    <t>POR1328768</t>
  </si>
  <si>
    <t>POR1328767</t>
  </si>
  <si>
    <t>POR1329210</t>
  </si>
  <si>
    <t>POR1330833</t>
  </si>
  <si>
    <t>POR1330834</t>
  </si>
  <si>
    <t>POR1331428</t>
  </si>
  <si>
    <t>POR1331430</t>
  </si>
  <si>
    <t>POR1331837</t>
  </si>
  <si>
    <t>POR1332065</t>
  </si>
  <si>
    <t>COPRICE WA</t>
  </si>
  <si>
    <t>POR1333563</t>
  </si>
  <si>
    <t>Notes</t>
  </si>
  <si>
    <t>POR1334234</t>
  </si>
  <si>
    <t>POR1334635</t>
  </si>
  <si>
    <t>POR1336389</t>
  </si>
  <si>
    <t>POR1336386</t>
  </si>
  <si>
    <t>POR1336959</t>
  </si>
  <si>
    <t>POR1337083</t>
  </si>
  <si>
    <t>POR1337580</t>
  </si>
  <si>
    <t>POR1337655</t>
  </si>
  <si>
    <t>POR1338533</t>
  </si>
  <si>
    <t>POR1338540</t>
  </si>
  <si>
    <t>POR1338537</t>
  </si>
  <si>
    <t>POR1338538</t>
  </si>
  <si>
    <t>POR1338536</t>
  </si>
  <si>
    <t>POR1338534</t>
  </si>
  <si>
    <t>POR1338539</t>
  </si>
  <si>
    <t>POR1338535</t>
  </si>
  <si>
    <t>POR1339360</t>
  </si>
  <si>
    <t>POR1342034</t>
  </si>
  <si>
    <t>POR1342040</t>
  </si>
  <si>
    <t>POR1343203</t>
  </si>
  <si>
    <t>POR1343354</t>
  </si>
  <si>
    <t>POR1342815</t>
  </si>
  <si>
    <t>POR1345639</t>
  </si>
  <si>
    <t>POR1344760</t>
  </si>
  <si>
    <t>POR1346120</t>
  </si>
  <si>
    <t>POR1347511</t>
  </si>
  <si>
    <t>POR1348476</t>
  </si>
  <si>
    <t>POR1348475</t>
  </si>
  <si>
    <t>POR1347508</t>
  </si>
  <si>
    <t>POR1349080</t>
  </si>
  <si>
    <t>POR1349246</t>
  </si>
  <si>
    <t>POR1349245</t>
  </si>
  <si>
    <t>POR1350587</t>
  </si>
  <si>
    <t>POR1351445</t>
  </si>
  <si>
    <t>POR1351719</t>
  </si>
  <si>
    <t>POR1351950</t>
  </si>
  <si>
    <t>POR1352294</t>
  </si>
  <si>
    <t>REX Done</t>
  </si>
  <si>
    <t>POR1353485</t>
  </si>
  <si>
    <t>POR1354335</t>
  </si>
  <si>
    <t>POR1354334</t>
  </si>
  <si>
    <t>POR1353484</t>
  </si>
  <si>
    <t>POR1354854</t>
  </si>
  <si>
    <t>POR1356522</t>
  </si>
  <si>
    <t>POR1357136</t>
  </si>
  <si>
    <t>POR1357248</t>
  </si>
  <si>
    <t>POR1357680</t>
  </si>
  <si>
    <t>POR1357701</t>
  </si>
  <si>
    <t>POR1358541</t>
  </si>
  <si>
    <t>POR1359786</t>
  </si>
  <si>
    <t>POR1359785</t>
  </si>
  <si>
    <t>POR1359133</t>
  </si>
  <si>
    <t>POR1359134</t>
  </si>
  <si>
    <t>POR1360382</t>
  </si>
  <si>
    <t>POR1360302</t>
  </si>
  <si>
    <t>POR1359810</t>
  </si>
  <si>
    <t>POR1362696</t>
  </si>
  <si>
    <t>POR1362001</t>
  </si>
  <si>
    <t>POR1362789</t>
  </si>
  <si>
    <t>POR1363303</t>
  </si>
  <si>
    <t>Thursday</t>
  </si>
  <si>
    <t>POR1364054</t>
  </si>
  <si>
    <t>POR1364733</t>
  </si>
  <si>
    <t>POR1365393</t>
  </si>
  <si>
    <t>POR1365394</t>
  </si>
  <si>
    <t>POR1364732</t>
  </si>
  <si>
    <t>POR1365940</t>
  </si>
  <si>
    <t>POR1367528</t>
  </si>
  <si>
    <t>POR1368219</t>
  </si>
  <si>
    <t>POR1367661</t>
  </si>
  <si>
    <t>POR1368386</t>
  </si>
  <si>
    <t>POR1368815</t>
  </si>
  <si>
    <t>POR1369217</t>
  </si>
  <si>
    <t>POR1370401</t>
  </si>
  <si>
    <t>POR1371161</t>
  </si>
  <si>
    <t>POR1371162</t>
  </si>
  <si>
    <t>POR1370400</t>
  </si>
  <si>
    <t>POR1371632</t>
  </si>
  <si>
    <t>POR1371642</t>
  </si>
  <si>
    <t>POR1372467</t>
  </si>
  <si>
    <t>POR1373645</t>
  </si>
  <si>
    <t>POR1373665</t>
  </si>
  <si>
    <t>POR1374222</t>
  </si>
  <si>
    <t>POR1375884</t>
  </si>
  <si>
    <t>POR1375883</t>
  </si>
  <si>
    <t>POR1376474</t>
  </si>
  <si>
    <t>POR1376473</t>
  </si>
  <si>
    <t>POR1377007</t>
  </si>
  <si>
    <t>POR1377745</t>
  </si>
  <si>
    <t>POR1377523</t>
  </si>
  <si>
    <t>POR1377522</t>
  </si>
  <si>
    <t>POR1378467</t>
  </si>
  <si>
    <t>POR1379539</t>
  </si>
  <si>
    <t>POR1379956</t>
  </si>
  <si>
    <t>POR1380890</t>
  </si>
  <si>
    <t>POR1380889</t>
  </si>
  <si>
    <t>POR1381383</t>
  </si>
  <si>
    <t>POR1381382</t>
  </si>
  <si>
    <t>POR1381378</t>
  </si>
  <si>
    <t>POR1381379</t>
  </si>
  <si>
    <t>POR1381697</t>
  </si>
  <si>
    <t>POR1382279</t>
  </si>
  <si>
    <t>POR1382678</t>
  </si>
  <si>
    <t>POR1382816</t>
  </si>
  <si>
    <t>POR1384588</t>
  </si>
  <si>
    <t>POR1384969</t>
  </si>
  <si>
    <t>POR1385094</t>
  </si>
  <si>
    <t>POR1385093</t>
  </si>
  <si>
    <t>POR1385747</t>
  </si>
  <si>
    <t>POR1387483</t>
  </si>
  <si>
    <t>POR1388190</t>
  </si>
  <si>
    <t>POR1388196</t>
  </si>
  <si>
    <t>POR1387479</t>
  </si>
  <si>
    <t>POR1388572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</si>
</sst>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"/>
    <numFmt numFmtId="165" formatCode="dd/mm/yyyy"/>
  </numFmts>
  <fonts count="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theme="6"/>
      </patternFill>
    </fill>
    <fill>
      <patternFill patternType="solid">
        <fgColor rgb="FFC6EFCE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14" fontId="6" fillId="3" borderId="1" applyNumberFormat="0" applyAlignment="0">
      <alignment horizontal="center"/>
    </xf>
    <xf numFmtId="14" fontId="8" fillId="5" borderId="1" applyNumberFormat="0" applyAlignment="0">
      <alignment horizontal="center"/>
    </xf>
    <xf numFmtId="14" fontId="7" fillId="6" borderId="1" applyNumberFormat="0" applyAlignment="0">
      <alignment horizontal="center"/>
    </xf>
  </cellStyleXfs>
  <cellXfs count="73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6" xfId="0" applyNumberFormat="1" applyFont="1" applyFill="1" applyBorder="1"/>
    <xf numFmtId="0" fontId="0" fillId="0" borderId="6" xfId="0" applyFont="1" applyFill="1" applyBorder="1"/>
    <xf numFmtId="0" fontId="0" fillId="0" borderId="6" xfId="0" applyNumberFormat="1" applyFont="1" applyFill="1" applyBorder="1" applyAlignment="1">
      <alignment horizontal="left"/>
    </xf>
    <xf numFmtId="14" fontId="0" fillId="0" borderId="6" xfId="0" applyNumberFormat="1" applyFont="1" applyFill="1" applyBorder="1"/>
    <xf numFmtId="0" fontId="0" fillId="0" borderId="0" xfId="0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NumberFormat="1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3" xfId="0" applyNumberFormat="1" applyFont="1" applyFill="1" applyBorder="1" applyAlignment="1">
      <alignment horizontal="left" vertical="center"/>
    </xf>
    <xf numFmtId="14" fontId="2" fillId="4" borderId="3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8" fillId="5" borderId="1" xfId="3" applyNumberFormat="1" applyBorder="1" applyAlignment="1"/>
    <xf numFmtId="0" fontId="8" fillId="5" borderId="1" xfId="3" applyNumberFormat="1" applyBorder="1" applyAlignment="1">
      <alignment horizontal="left"/>
    </xf>
    <xf numFmtId="14" fontId="8" fillId="5" borderId="1" xfId="3" applyNumberFormat="1" applyBorder="1" applyAlignment="1"/>
    <xf numFmtId="0" fontId="8" fillId="5" borderId="6" xfId="3" applyNumberFormat="1" applyBorder="1" applyAlignment="1"/>
    <xf numFmtId="0" fontId="8" fillId="5" borderId="6" xfId="3" applyNumberFormat="1" applyBorder="1" applyAlignment="1">
      <alignment horizontal="left"/>
    </xf>
    <xf numFmtId="14" fontId="8" fillId="5" borderId="6" xfId="3" applyNumberFormat="1" applyBorder="1" applyAlignment="1"/>
    <xf numFmtId="14" fontId="2" fillId="4" borderId="3" xfId="0" applyNumberFormat="1" applyFont="1" applyFill="1" applyBorder="1" applyAlignment="1">
      <alignment horizontal="center" vertical="center"/>
    </xf>
    <xf numFmtId="14" fontId="0" fillId="0" borderId="6" xfId="0" applyNumberFormat="1" applyFont="1" applyFill="1" applyBorder="1" applyAlignment="1">
      <alignment horizontal="center"/>
    </xf>
    <xf numFmtId="14" fontId="0" fillId="0" borderId="7" xfId="1" applyNumberFormat="1" applyFont="1" applyFill="1" applyBorder="1"/>
    <xf numFmtId="14" fontId="2" fillId="4" borderId="2" xfId="0" applyNumberFormat="1" applyFont="1" applyFill="1" applyBorder="1" applyAlignment="1">
      <alignment vertical="center"/>
    </xf>
    <xf numFmtId="14" fontId="8" fillId="5" borderId="8" xfId="3" applyNumberFormat="1" applyBorder="1" applyAlignment="1"/>
    <xf numFmtId="14" fontId="2" fillId="4" borderId="1" xfId="0" applyNumberFormat="1" applyFont="1" applyFill="1" applyBorder="1" applyAlignment="1">
      <alignment vertical="center"/>
    </xf>
    <xf numFmtId="164" fontId="8" fillId="5" borderId="1" xfId="3" applyNumberFormat="1" applyBorder="1" applyAlignment="1">
      <alignment horizontal="right"/>
    </xf>
    <xf numFmtId="14" fontId="8" fillId="5" borderId="7" xfId="3" applyNumberFormat="1" applyBorder="1" applyAlignment="1"/>
    <xf numFmtId="164" fontId="0" fillId="0" borderId="6" xfId="0" applyNumberFormat="1" applyFont="1" applyFill="1" applyBorder="1" applyAlignment="1">
      <alignment horizontal="right"/>
    </xf>
    <xf numFmtId="165" fontId="8" fillId="5" borderId="4" xfId="3" applyNumberFormat="1" applyBorder="1" applyAlignment="1">
      <alignment horizontal="center"/>
    </xf>
    <xf numFmtId="165" fontId="8" fillId="5" borderId="5" xfId="3" applyNumberFormat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164" fontId="8" fillId="5" borderId="6" xfId="3" applyNumberFormat="1" applyBorder="1" applyAlignment="1">
      <alignment horizontal="right"/>
    </xf>
    <xf numFmtId="165" fontId="8" fillId="5" borderId="1" xfId="3" applyNumberFormat="1" applyAlignment="1">
      <alignment horizontal="center"/>
    </xf>
    <xf numFmtId="0" fontId="8" fillId="5" borderId="1" xfId="3" applyNumberFormat="1" applyAlignment="1"/>
    <xf numFmtId="0" fontId="8" fillId="5" borderId="1" xfId="3" applyNumberFormat="1" applyAlignment="1">
      <alignment horizontal="left"/>
    </xf>
    <xf numFmtId="14" fontId="8" fillId="5" borderId="1" xfId="3" applyNumberFormat="1" applyAlignment="1"/>
    <xf numFmtId="164" fontId="8" fillId="5" borderId="1" xfId="3" applyNumberFormat="1" applyAlignment="1">
      <alignment horizontal="right"/>
    </xf>
    <xf numFmtId="14" fontId="8" fillId="5" borderId="1" xfId="3" applyNumberFormat="1" applyAlignment="1">
      <alignment horizontal="center"/>
    </xf>
    <xf numFmtId="165" fontId="8" fillId="5" borderId="1" xfId="3" applyNumberFormat="1" applyBorder="1" applyAlignment="1">
      <alignment horizontal="center"/>
    </xf>
    <xf numFmtId="14" fontId="8" fillId="5" borderId="6" xfId="3" applyNumberFormat="1" applyBorder="1" applyAlignment="1">
      <alignment horizontal="center"/>
    </xf>
    <xf numFmtId="14" fontId="8" fillId="5" borderId="1" xfId="3" applyNumberFormat="1" applyBorder="1" applyAlignment="1">
      <alignment horizontal="center"/>
    </xf>
    <xf numFmtId="0" fontId="0" fillId="0" borderId="1" xfId="0" applyNumberFormat="1" applyFont="1" applyFill="1" applyBorder="1"/>
    <xf numFmtId="0" fontId="0" fillId="0" borderId="1" xfId="0" applyFont="1" applyFill="1" applyBorder="1"/>
    <xf numFmtId="0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/>
    </xf>
    <xf numFmtId="165" fontId="0" fillId="0" borderId="1" xfId="0" applyNumberFormat="1" applyFont="1" applyFill="1" applyBorder="1" applyAlignment="1">
      <alignment horizontal="center"/>
    </xf>
    <xf numFmtId="14" fontId="0" fillId="0" borderId="1" xfId="1" applyNumberFormat="1" applyFont="1" applyFill="1" applyBorder="1"/>
    <xf numFmtId="14" fontId="0" fillId="0" borderId="1" xfId="0" applyNumberFormat="1" applyFont="1" applyFill="1" applyBorder="1" applyAlignment="1">
      <alignment horizontal="center"/>
    </xf>
    <xf numFmtId="165" fontId="7" fillId="6" borderId="1" xfId="4" applyNumberFormat="1" applyAlignment="1">
      <alignment horizontal="center"/>
    </xf>
    <xf numFmtId="0" fontId="7" fillId="6" borderId="1" xfId="4" applyNumberFormat="1" applyAlignment="1"/>
    <xf numFmtId="0" fontId="7" fillId="6" borderId="1" xfId="4" applyNumberFormat="1" applyAlignment="1">
      <alignment horizontal="left"/>
    </xf>
    <xf numFmtId="14" fontId="7" fillId="6" borderId="1" xfId="4" applyNumberFormat="1" applyAlignment="1"/>
    <xf numFmtId="164" fontId="7" fillId="6" borderId="1" xfId="4" applyNumberFormat="1" applyAlignment="1">
      <alignment horizontal="right"/>
    </xf>
    <xf numFmtId="14" fontId="7" fillId="6" borderId="1" xfId="4" applyNumberFormat="1" applyAlignment="1">
      <alignment horizontal="center"/>
    </xf>
    <xf numFmtId="165" fontId="7" fillId="7" borderId="5" xfId="4" applyNumberFormat="1" applyFill="1" applyBorder="1" applyAlignment="1">
      <alignment horizontal="center"/>
    </xf>
    <xf numFmtId="0" fontId="7" fillId="7" borderId="6" xfId="4" applyNumberFormat="1" applyFill="1" applyBorder="1" applyAlignment="1"/>
    <xf numFmtId="0" fontId="7" fillId="7" borderId="6" xfId="4" applyNumberFormat="1" applyFill="1" applyBorder="1" applyAlignment="1">
      <alignment horizontal="left"/>
    </xf>
    <xf numFmtId="14" fontId="7" fillId="7" borderId="6" xfId="4" applyNumberFormat="1" applyFill="1" applyBorder="1" applyAlignment="1"/>
    <xf numFmtId="164" fontId="7" fillId="7" borderId="6" xfId="4" applyNumberFormat="1" applyFill="1" applyBorder="1" applyAlignment="1">
      <alignment horizontal="right"/>
    </xf>
    <xf numFmtId="14" fontId="7" fillId="7" borderId="7" xfId="4" applyNumberFormat="1" applyFill="1" applyBorder="1" applyAlignment="1"/>
    <xf numFmtId="14" fontId="7" fillId="7" borderId="6" xfId="4" applyNumberFormat="1" applyFill="1" applyBorder="1" applyAlignment="1">
      <alignment horizontal="center"/>
    </xf>
    <xf numFmtId="165" fontId="7" fillId="7" borderId="1" xfId="4" applyNumberFormat="1" applyFill="1" applyAlignment="1">
      <alignment horizontal="center"/>
    </xf>
    <xf numFmtId="0" fontId="7" fillId="7" borderId="1" xfId="4" applyNumberFormat="1" applyFill="1" applyAlignment="1"/>
    <xf numFmtId="0" fontId="7" fillId="7" borderId="1" xfId="4" applyNumberFormat="1" applyFill="1" applyAlignment="1">
      <alignment horizontal="left"/>
    </xf>
    <xf numFmtId="14" fontId="7" fillId="7" borderId="1" xfId="4" applyNumberFormat="1" applyFill="1" applyAlignment="1"/>
    <xf numFmtId="164" fontId="7" fillId="7" borderId="1" xfId="4" applyNumberFormat="1" applyFill="1" applyAlignment="1">
      <alignment horizontal="right"/>
    </xf>
    <xf numFmtId="14" fontId="7" fillId="7" borderId="1" xfId="4" applyNumberFormat="1" applyFill="1" applyAlignment="1">
      <alignment horizontal="center"/>
    </xf>
  </cellXfs>
  <cellStyles count="5">
    <cellStyle name="Good" xfId="1" builtinId="26"/>
    <cellStyle name="Normal" xfId="0" builtinId="0"/>
    <cellStyle name="P/wk Printed" xfId="4" xr:uid="{CB44F076-DEB3-47CD-9EAD-89AD526BEE58}"/>
    <cellStyle name="PGR'd" xfId="3" xr:uid="{A64A3237-FCAE-435C-82CF-2BDCD02B17C2}"/>
    <cellStyle name="Released" xfId="2" xr:uid="{E31428FF-B565-438C-86BA-ED5B3B195F63}"/>
  </cellStyles>
  <dxfs count="27">
    <dxf>
      <numFmt numFmtId="0" formatCode="General"/>
    </dxf>
    <dxf>
      <numFmt numFmtId="19" formatCode="d/mm/yyyy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dd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9" formatCode="d/mm/yyyy"/>
      <fill>
        <patternFill patternType="solid">
          <fgColor theme="6"/>
          <bgColor theme="3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6EFCE"/>
      <color rgb="FF73E838"/>
      <color rgb="FF81F828"/>
      <color rgb="FF9AFA9C"/>
      <color rgb="FFA8E6B4"/>
      <color rgb="FF17F806"/>
      <color rgb="FF169F03"/>
      <color rgb="FF3EFB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New 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Rex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Manifest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F34F06A-3DC1-400C-BF88-C6F8F271A192}" autoFormatId="16" applyNumberFormats="0" applyBorderFormats="0" applyFontFormats="0" applyPatternFormats="0" applyAlignmentFormats="0" applyWidthHeightFormats="0">
  <queryTableRefresh nextId="12">
    <queryTableFields count="9">
      <queryTableField id="1" name="PO no" tableColumnId="1"/>
      <queryTableField id="2" name="Supplier" tableColumnId="2"/>
      <queryTableField id="3" name="Supplier name" tableColumnId="3"/>
      <queryTableField id="4" name="Store" tableColumnId="4"/>
      <queryTableField id="5" name="Store name" tableColumnId="5"/>
      <queryTableField id="6" name="Order Date" tableColumnId="6"/>
      <queryTableField id="7" name="Order Day" tableColumnId="7"/>
      <queryTableField id="8" name="Expected Receipt Date" tableColumnId="8"/>
      <queryTableField id="9" name="Delivery Day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3F4F2A-5395-4641-9607-146E359C1392}" name="Inbound" displayName="Inbound" ref="A1:L136" totalsRowShown="0" headerRowDxfId="26" dataDxfId="24" headerRowBorderDxfId="25" tableBorderDxfId="23" totalsRowBorderDxfId="22">
  <autoFilter ref="A1:L136" xr:uid="{2BD610DB-7345-4843-8C46-563A9DCB2DEF}"/>
  <sortState ref="A2:L136">
    <sortCondition ref="A2:A136"/>
    <sortCondition ref="I2:I136"/>
  </sortState>
  <tableColumns count="12">
    <tableColumn id="1" xr3:uid="{01B02C56-9687-450A-BAE1-9EB70E46EECB}" name="Unloading Date" dataDxfId="21"/>
    <tableColumn id="2" xr3:uid="{9F9F0E42-B2D3-47E5-A674-C34FDA70AB3D}" name="PO no" dataDxfId="20"/>
    <tableColumn id="3" xr3:uid="{BB8056FC-19BA-4E0C-8861-AE3D75191877}" name="Supplier" dataDxfId="19"/>
    <tableColumn id="4" xr3:uid="{01A25135-BCCE-4FCA-8D6F-84CAC446A6AF}" name="Supplier name" dataDxfId="18"/>
    <tableColumn id="5" xr3:uid="{52BB6BCA-5A4B-4D7C-A265-25620AD86052}" name="Store" dataDxfId="17"/>
    <tableColumn id="6" xr3:uid="{E88EBB1C-E2CB-4A07-95D3-6361FA349828}" name="Store name" dataDxfId="16"/>
    <tableColumn id="7" xr3:uid="{596F6C27-F250-4FD0-A283-4F9503D4D19E}" name="Order Date" dataDxfId="15"/>
    <tableColumn id="8" xr3:uid="{9C14A071-9F7C-4560-B11E-340AB6FB1E63}" name="Order Day" dataDxfId="14"/>
    <tableColumn id="9" xr3:uid="{13AD6EC3-85BC-4E13-8595-B8BB4CE14EBF}" name="Expected Receipt Date" dataDxfId="13"/>
    <tableColumn id="10" xr3:uid="{DB17A9AF-3473-4EBA-8F10-CAF9125275D1}" name="Delivery Day" dataDxfId="12">
      <calculatedColumnFormula>Inbound[[#This Row],[Expected Receipt Date]]</calculatedColumnFormula>
    </tableColumn>
    <tableColumn id="11" xr3:uid="{13FC880E-BC0C-4682-8534-C9066A4B674B}" name="Week Ending" dataDxfId="11" dataCellStyle="Good">
      <calculatedColumnFormula>IF(Inbound[[#This Row],[Unloading Date]]="","",Inbound[[#This Row],[Unloading Date]]+8-WEEKDAY(Inbound[[#This Row],[Unloading Date]]))</calculatedColumnFormula>
    </tableColumn>
    <tableColumn id="12" xr3:uid="{51C9DFD0-DBF3-49A1-80A1-00A4A5384844}" name="Notes" dataDxfId="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CDBAD9-B09B-405E-AC20-392A99A0D8B5}" name="Perth" displayName="Perth" ref="A1:I20" tableType="queryTable" totalsRowShown="0" headerRowDxfId="9">
  <autoFilter ref="A1:I20" xr:uid="{22E3FB32-86FA-4130-B27A-555B20FD3DC6}"/>
  <tableColumns count="9">
    <tableColumn id="1" xr3:uid="{985FFE6B-D1A7-4469-AD45-DD233A9DAF3D}" uniqueName="1" name="PO no" queryTableFieldId="1" dataDxfId="7"/>
    <tableColumn id="2" xr3:uid="{ABA696B7-63BD-4381-82AF-4B7E27E108B0}" uniqueName="2" name="Supplier" queryTableFieldId="2" dataDxfId="6"/>
    <tableColumn id="3" xr3:uid="{8071CC82-A157-421B-91C3-2C42C1CDF338}" uniqueName="3" name="Supplier name" queryTableFieldId="3" dataDxfId="5"/>
    <tableColumn id="4" xr3:uid="{A981E40D-0D2D-488E-81BB-726297DC7102}" uniqueName="4" name="Store" queryTableFieldId="4"/>
    <tableColumn id="5" xr3:uid="{00A266C0-8546-4D0D-93A8-F0ABAEC8F6D4}" uniqueName="5" name="Store name" queryTableFieldId="5" dataDxfId="4"/>
    <tableColumn id="6" xr3:uid="{140E9AD4-697D-473E-9429-EC64D1EA4049}" uniqueName="6" name="Order Date" queryTableFieldId="6" dataDxfId="3"/>
    <tableColumn id="7" xr3:uid="{EBE37BA0-B64F-4AFF-BE82-5130ED6CC618}" uniqueName="7" name="Order Day" queryTableFieldId="7" dataDxfId="2"/>
    <tableColumn id="8" xr3:uid="{CC35D07B-B13D-48A5-B996-7A4DEA5F3C3D}" uniqueName="8" name="Expected Receipt Date" queryTableFieldId="8" dataDxfId="1"/>
    <tableColumn id="9" xr3:uid="{9C323754-06A2-43A5-9044-CCF6330B2589}" uniqueName="9" name="Delivery Day" queryTableFieldId="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CA3D-79A1-4B41-AC95-F2CF0C09E948}">
  <sheetPr codeName="ShInbound"/>
  <dimension ref="A1:L136"/>
  <sheetViews>
    <sheetView tabSelected="1" workbookViewId="0">
      <pane ySplit="1" topLeftCell="A104" activePane="bottomLeft" state="frozen"/>
      <selection pane="bottomLeft" activeCell="D140" sqref="D140"/>
    </sheetView>
  </sheetViews>
  <sheetFormatPr defaultRowHeight="15" x14ac:dyDescent="0.25"/>
  <cols>
    <col min="1" max="1" width="21" style="5" bestFit="1" customWidth="1"/>
    <col min="2" max="2" width="11.7109375" bestFit="1" customWidth="1"/>
    <col min="3" max="3" width="11.5703125" bestFit="1" customWidth="1"/>
    <col min="4" max="4" width="43.28515625" bestFit="1" customWidth="1"/>
    <col min="5" max="5" width="10.7109375" style="4" bestFit="1" customWidth="1"/>
    <col min="6" max="6" width="14.5703125" bestFit="1" customWidth="1"/>
    <col min="7" max="7" width="14.28515625" bestFit="1" customWidth="1"/>
    <col min="8" max="8" width="13.28515625" bestFit="1" customWidth="1"/>
    <col min="9" max="9" width="25.7109375" bestFit="1" customWidth="1"/>
    <col min="10" max="10" width="15.7109375" bestFit="1" customWidth="1"/>
    <col min="11" max="12" width="15.7109375" customWidth="1"/>
  </cols>
  <sheetData>
    <row r="1" spans="1:12" s="10" customFormat="1" ht="19.5" customHeight="1" x14ac:dyDescent="0.25">
      <c r="A1" s="11" t="s">
        <v>20</v>
      </c>
      <c r="B1" s="12" t="s">
        <v>0</v>
      </c>
      <c r="C1" s="13" t="s">
        <v>1</v>
      </c>
      <c r="D1" s="14" t="s">
        <v>2</v>
      </c>
      <c r="E1" s="15" t="s">
        <v>3</v>
      </c>
      <c r="F1" s="13" t="s">
        <v>4</v>
      </c>
      <c r="G1" s="16" t="s">
        <v>5</v>
      </c>
      <c r="H1" s="13" t="s">
        <v>6</v>
      </c>
      <c r="I1" s="16" t="s">
        <v>7</v>
      </c>
      <c r="J1" s="29" t="s">
        <v>8</v>
      </c>
      <c r="K1" s="27" t="s">
        <v>34</v>
      </c>
      <c r="L1" s="24" t="s">
        <v>48</v>
      </c>
    </row>
    <row r="2" spans="1:12" ht="15" customHeight="1" x14ac:dyDescent="0.25">
      <c r="A2" s="33">
        <v>43997</v>
      </c>
      <c r="B2" s="18" t="s">
        <v>22</v>
      </c>
      <c r="C2" s="18">
        <v>19107</v>
      </c>
      <c r="D2" s="18" t="s">
        <v>12</v>
      </c>
      <c r="E2" s="19">
        <v>17857</v>
      </c>
      <c r="F2" s="18" t="s">
        <v>10</v>
      </c>
      <c r="G2" s="20">
        <v>43984</v>
      </c>
      <c r="H2" s="18" t="s">
        <v>11</v>
      </c>
      <c r="I2" s="20">
        <v>43997</v>
      </c>
      <c r="J2" s="30">
        <f>Inbound[[#This Row],[Expected Receipt Date]]</f>
        <v>43997</v>
      </c>
      <c r="K2" s="28">
        <f>IF(Inbound[[#This Row],[Unloading Date]]="","",Inbound[[#This Row],[Unloading Date]]+8-WEEKDAY(Inbound[[#This Row],[Unloading Date]]))</f>
        <v>44003</v>
      </c>
      <c r="L2" s="42" t="s">
        <v>86</v>
      </c>
    </row>
    <row r="3" spans="1:12" x14ac:dyDescent="0.25">
      <c r="A3" s="33">
        <v>43997</v>
      </c>
      <c r="B3" s="18" t="s">
        <v>23</v>
      </c>
      <c r="C3" s="18">
        <v>19173</v>
      </c>
      <c r="D3" s="18" t="s">
        <v>16</v>
      </c>
      <c r="E3" s="19">
        <v>17857</v>
      </c>
      <c r="F3" s="18" t="s">
        <v>10</v>
      </c>
      <c r="G3" s="20">
        <v>43984</v>
      </c>
      <c r="H3" s="18" t="s">
        <v>11</v>
      </c>
      <c r="I3" s="20">
        <v>43997</v>
      </c>
      <c r="J3" s="30">
        <f>Inbound[[#This Row],[Expected Receipt Date]]</f>
        <v>43997</v>
      </c>
      <c r="K3" s="28">
        <f>IF(Inbound[[#This Row],[Unloading Date]]="","",Inbound[[#This Row],[Unloading Date]]+8-WEEKDAY(Inbound[[#This Row],[Unloading Date]]))</f>
        <v>44003</v>
      </c>
      <c r="L3" s="42" t="s">
        <v>86</v>
      </c>
    </row>
    <row r="4" spans="1:12" x14ac:dyDescent="0.25">
      <c r="A4" s="33">
        <v>43997</v>
      </c>
      <c r="B4" s="18" t="s">
        <v>27</v>
      </c>
      <c r="C4" s="18">
        <v>18380</v>
      </c>
      <c r="D4" s="18" t="s">
        <v>9</v>
      </c>
      <c r="E4" s="19">
        <v>17857</v>
      </c>
      <c r="F4" s="18" t="s">
        <v>10</v>
      </c>
      <c r="G4" s="20">
        <v>43966</v>
      </c>
      <c r="H4" s="18" t="s">
        <v>15</v>
      </c>
      <c r="I4" s="20">
        <v>43999</v>
      </c>
      <c r="J4" s="30">
        <f>Inbound[[#This Row],[Expected Receipt Date]]</f>
        <v>43999</v>
      </c>
      <c r="K4" s="28">
        <f>IF(Inbound[[#This Row],[Unloading Date]]="","",Inbound[[#This Row],[Unloading Date]]+8-WEEKDAY(Inbound[[#This Row],[Unloading Date]]))</f>
        <v>44003</v>
      </c>
      <c r="L4" s="42" t="s">
        <v>86</v>
      </c>
    </row>
    <row r="5" spans="1:12" x14ac:dyDescent="0.25">
      <c r="A5" s="33">
        <v>43997</v>
      </c>
      <c r="B5" s="18" t="s">
        <v>26</v>
      </c>
      <c r="C5" s="18">
        <v>19128</v>
      </c>
      <c r="D5" s="18" t="s">
        <v>17</v>
      </c>
      <c r="E5" s="19">
        <v>17857</v>
      </c>
      <c r="F5" s="18" t="s">
        <v>10</v>
      </c>
      <c r="G5" s="20">
        <v>43985</v>
      </c>
      <c r="H5" s="18" t="s">
        <v>18</v>
      </c>
      <c r="I5" s="20">
        <v>43999</v>
      </c>
      <c r="J5" s="30">
        <f>Inbound[[#This Row],[Expected Receipt Date]]</f>
        <v>43999</v>
      </c>
      <c r="K5" s="28">
        <f>IF(Inbound[[#This Row],[Unloading Date]]="","",Inbound[[#This Row],[Unloading Date]]+8-WEEKDAY(Inbound[[#This Row],[Unloading Date]]))</f>
        <v>44003</v>
      </c>
      <c r="L5" s="42" t="s">
        <v>86</v>
      </c>
    </row>
    <row r="6" spans="1:12" x14ac:dyDescent="0.25">
      <c r="A6" s="33">
        <v>44000</v>
      </c>
      <c r="B6" s="18" t="s">
        <v>24</v>
      </c>
      <c r="C6" s="18">
        <v>19110</v>
      </c>
      <c r="D6" s="18" t="s">
        <v>21</v>
      </c>
      <c r="E6" s="19">
        <v>17857</v>
      </c>
      <c r="F6" s="18" t="s">
        <v>10</v>
      </c>
      <c r="G6" s="20">
        <v>43991</v>
      </c>
      <c r="H6" s="18" t="s">
        <v>11</v>
      </c>
      <c r="I6" s="20">
        <v>44000</v>
      </c>
      <c r="J6" s="30">
        <f>Inbound[[#This Row],[Expected Receipt Date]]</f>
        <v>44000</v>
      </c>
      <c r="K6" s="28">
        <f>IF(Inbound[[#This Row],[Unloading Date]]="","",Inbound[[#This Row],[Unloading Date]]+8-WEEKDAY(Inbound[[#This Row],[Unloading Date]]))</f>
        <v>44003</v>
      </c>
      <c r="L6" s="42" t="s">
        <v>86</v>
      </c>
    </row>
    <row r="7" spans="1:12" x14ac:dyDescent="0.25">
      <c r="A7" s="33">
        <v>44000</v>
      </c>
      <c r="B7" s="18" t="s">
        <v>28</v>
      </c>
      <c r="C7" s="18">
        <v>19128</v>
      </c>
      <c r="D7" s="18" t="s">
        <v>17</v>
      </c>
      <c r="E7" s="19">
        <v>17857</v>
      </c>
      <c r="F7" s="18" t="s">
        <v>10</v>
      </c>
      <c r="G7" s="20">
        <v>43992</v>
      </c>
      <c r="H7" s="18" t="s">
        <v>18</v>
      </c>
      <c r="I7" s="20">
        <v>44000</v>
      </c>
      <c r="J7" s="30">
        <f>Inbound[[#This Row],[Expected Receipt Date]]</f>
        <v>44000</v>
      </c>
      <c r="K7" s="28">
        <f>IF(Inbound[[#This Row],[Unloading Date]]="","",Inbound[[#This Row],[Unloading Date]]+8-WEEKDAY(Inbound[[#This Row],[Unloading Date]]))</f>
        <v>44003</v>
      </c>
      <c r="L7" s="42" t="s">
        <v>86</v>
      </c>
    </row>
    <row r="8" spans="1:12" x14ac:dyDescent="0.25">
      <c r="A8" s="33">
        <v>44000</v>
      </c>
      <c r="B8" s="18" t="s">
        <v>30</v>
      </c>
      <c r="C8" s="18">
        <v>19109</v>
      </c>
      <c r="D8" s="18" t="s">
        <v>13</v>
      </c>
      <c r="E8" s="19">
        <v>17857</v>
      </c>
      <c r="F8" s="18" t="s">
        <v>10</v>
      </c>
      <c r="G8" s="20">
        <v>43991</v>
      </c>
      <c r="H8" s="18" t="s">
        <v>11</v>
      </c>
      <c r="I8" s="20">
        <v>44004</v>
      </c>
      <c r="J8" s="30">
        <f>Inbound[[#This Row],[Expected Receipt Date]]</f>
        <v>44004</v>
      </c>
      <c r="K8" s="28">
        <f>IF(Inbound[[#This Row],[Unloading Date]]="","",Inbound[[#This Row],[Unloading Date]]+8-WEEKDAY(Inbound[[#This Row],[Unloading Date]]))</f>
        <v>44003</v>
      </c>
      <c r="L8" s="42" t="s">
        <v>86</v>
      </c>
    </row>
    <row r="9" spans="1:12" x14ac:dyDescent="0.25">
      <c r="A9" s="33">
        <v>44001</v>
      </c>
      <c r="B9" s="18" t="s">
        <v>25</v>
      </c>
      <c r="C9" s="18">
        <v>19107</v>
      </c>
      <c r="D9" s="18" t="s">
        <v>12</v>
      </c>
      <c r="E9" s="19">
        <v>17857</v>
      </c>
      <c r="F9" s="18" t="s">
        <v>10</v>
      </c>
      <c r="G9" s="20">
        <v>43991</v>
      </c>
      <c r="H9" s="18" t="s">
        <v>11</v>
      </c>
      <c r="I9" s="20">
        <v>44000</v>
      </c>
      <c r="J9" s="30">
        <f>Inbound[[#This Row],[Expected Receipt Date]]</f>
        <v>44000</v>
      </c>
      <c r="K9" s="28">
        <f>IF(Inbound[[#This Row],[Unloading Date]]="","",Inbound[[#This Row],[Unloading Date]]+8-WEEKDAY(Inbound[[#This Row],[Unloading Date]]))</f>
        <v>44003</v>
      </c>
      <c r="L9" s="42" t="s">
        <v>86</v>
      </c>
    </row>
    <row r="10" spans="1:12" x14ac:dyDescent="0.25">
      <c r="A10" s="33">
        <v>44006</v>
      </c>
      <c r="B10" s="21" t="s">
        <v>29</v>
      </c>
      <c r="C10" s="21">
        <v>19108</v>
      </c>
      <c r="D10" s="21" t="s">
        <v>19</v>
      </c>
      <c r="E10" s="22">
        <v>17857</v>
      </c>
      <c r="F10" s="21" t="s">
        <v>10</v>
      </c>
      <c r="G10" s="23">
        <v>43991</v>
      </c>
      <c r="H10" s="21" t="s">
        <v>11</v>
      </c>
      <c r="I10" s="23">
        <v>44008</v>
      </c>
      <c r="J10" s="30">
        <f>Inbound[[#This Row],[Expected Receipt Date]]</f>
        <v>44008</v>
      </c>
      <c r="K10" s="28">
        <f>IF(Inbound[[#This Row],[Unloading Date]]="","",Inbound[[#This Row],[Unloading Date]]+8-WEEKDAY(Inbound[[#This Row],[Unloading Date]]))</f>
        <v>44010</v>
      </c>
      <c r="L10" s="42" t="s">
        <v>86</v>
      </c>
    </row>
    <row r="11" spans="1:12" x14ac:dyDescent="0.25">
      <c r="A11" s="34">
        <v>44008</v>
      </c>
      <c r="B11" s="21" t="s">
        <v>36</v>
      </c>
      <c r="C11" s="21">
        <v>19107</v>
      </c>
      <c r="D11" s="21" t="s">
        <v>12</v>
      </c>
      <c r="E11" s="22">
        <v>17857</v>
      </c>
      <c r="F11" s="21" t="s">
        <v>10</v>
      </c>
      <c r="G11" s="23">
        <v>43998</v>
      </c>
      <c r="H11" s="21" t="s">
        <v>11</v>
      </c>
      <c r="I11" s="23">
        <v>44011</v>
      </c>
      <c r="J11" s="30">
        <f>Inbound[[#This Row],[Expected Receipt Date]]</f>
        <v>44011</v>
      </c>
      <c r="K11" s="28">
        <f>IF(Inbound[[#This Row],[Unloading Date]]="","",Inbound[[#This Row],[Unloading Date]]+8-WEEKDAY(Inbound[[#This Row],[Unloading Date]]))</f>
        <v>44010</v>
      </c>
      <c r="L11" s="42" t="s">
        <v>86</v>
      </c>
    </row>
    <row r="12" spans="1:12" x14ac:dyDescent="0.25">
      <c r="A12" s="34">
        <v>44008</v>
      </c>
      <c r="B12" s="21" t="s">
        <v>37</v>
      </c>
      <c r="C12" s="21">
        <v>19173</v>
      </c>
      <c r="D12" s="21" t="s">
        <v>16</v>
      </c>
      <c r="E12" s="22">
        <v>17857</v>
      </c>
      <c r="F12" s="21" t="s">
        <v>10</v>
      </c>
      <c r="G12" s="23">
        <v>43998</v>
      </c>
      <c r="H12" s="21" t="s">
        <v>11</v>
      </c>
      <c r="I12" s="23">
        <v>44011</v>
      </c>
      <c r="J12" s="30">
        <f>Inbound[[#This Row],[Expected Receipt Date]]</f>
        <v>44011</v>
      </c>
      <c r="K12" s="28">
        <f>IF(Inbound[[#This Row],[Unloading Date]]="","",Inbound[[#This Row],[Unloading Date]]+8-WEEKDAY(Inbound[[#This Row],[Unloading Date]]))</f>
        <v>44010</v>
      </c>
      <c r="L12" s="45" t="s">
        <v>86</v>
      </c>
    </row>
    <row r="13" spans="1:12" x14ac:dyDescent="0.25">
      <c r="A13" s="34">
        <v>44008</v>
      </c>
      <c r="B13" s="21" t="s">
        <v>38</v>
      </c>
      <c r="C13" s="21">
        <v>19173</v>
      </c>
      <c r="D13" s="21" t="s">
        <v>16</v>
      </c>
      <c r="E13" s="22">
        <v>17857</v>
      </c>
      <c r="F13" s="21" t="s">
        <v>10</v>
      </c>
      <c r="G13" s="23">
        <v>43998</v>
      </c>
      <c r="H13" s="21" t="s">
        <v>11</v>
      </c>
      <c r="I13" s="23">
        <v>44013</v>
      </c>
      <c r="J13" s="30">
        <f>Inbound[[#This Row],[Expected Receipt Date]]</f>
        <v>44013</v>
      </c>
      <c r="K13" s="28">
        <f>IF(Inbound[[#This Row],[Unloading Date]]="","",Inbound[[#This Row],[Unloading Date]]+8-WEEKDAY(Inbound[[#This Row],[Unloading Date]]))</f>
        <v>44010</v>
      </c>
      <c r="L13" s="45" t="s">
        <v>86</v>
      </c>
    </row>
    <row r="14" spans="1:12" x14ac:dyDescent="0.25">
      <c r="A14" s="34">
        <v>44013</v>
      </c>
      <c r="B14" s="21" t="s">
        <v>35</v>
      </c>
      <c r="C14" s="21">
        <v>19109</v>
      </c>
      <c r="D14" s="21" t="s">
        <v>13</v>
      </c>
      <c r="E14" s="22">
        <v>17857</v>
      </c>
      <c r="F14" s="21" t="s">
        <v>10</v>
      </c>
      <c r="G14" s="23">
        <v>43997</v>
      </c>
      <c r="H14" s="21" t="s">
        <v>14</v>
      </c>
      <c r="I14" s="23">
        <v>44015</v>
      </c>
      <c r="J14" s="30">
        <f>Inbound[[#This Row],[Expected Receipt Date]]</f>
        <v>44015</v>
      </c>
      <c r="K14" s="31">
        <f>IF(Inbound[[#This Row],[Unloading Date]]="","",Inbound[[#This Row],[Unloading Date]]+8-WEEKDAY(Inbound[[#This Row],[Unloading Date]]))</f>
        <v>44017</v>
      </c>
      <c r="L14" s="42" t="s">
        <v>86</v>
      </c>
    </row>
    <row r="15" spans="1:12" x14ac:dyDescent="0.25">
      <c r="A15" s="34">
        <v>44013</v>
      </c>
      <c r="B15" s="21" t="s">
        <v>39</v>
      </c>
      <c r="C15" s="21">
        <v>19128</v>
      </c>
      <c r="D15" s="21" t="s">
        <v>17</v>
      </c>
      <c r="E15" s="22">
        <v>17857</v>
      </c>
      <c r="F15" s="21" t="s">
        <v>10</v>
      </c>
      <c r="G15" s="23">
        <v>43999</v>
      </c>
      <c r="H15" s="21" t="s">
        <v>18</v>
      </c>
      <c r="I15" s="23">
        <v>44015</v>
      </c>
      <c r="J15" s="30">
        <f>Inbound[[#This Row],[Expected Receipt Date]]</f>
        <v>44015</v>
      </c>
      <c r="K15" s="31">
        <f>IF(Inbound[[#This Row],[Unloading Date]]="","",Inbound[[#This Row],[Unloading Date]]+8-WEEKDAY(Inbound[[#This Row],[Unloading Date]]))</f>
        <v>44017</v>
      </c>
      <c r="L15" s="42" t="s">
        <v>86</v>
      </c>
    </row>
    <row r="16" spans="1:12" x14ac:dyDescent="0.25">
      <c r="A16" s="34">
        <v>44013</v>
      </c>
      <c r="B16" s="21" t="s">
        <v>31</v>
      </c>
      <c r="C16" s="21">
        <v>19128</v>
      </c>
      <c r="D16" s="21" t="s">
        <v>17</v>
      </c>
      <c r="E16" s="22">
        <v>17857</v>
      </c>
      <c r="F16" s="21" t="s">
        <v>10</v>
      </c>
      <c r="G16" s="23">
        <v>43992</v>
      </c>
      <c r="H16" s="21" t="s">
        <v>18</v>
      </c>
      <c r="I16" s="23">
        <v>44015</v>
      </c>
      <c r="J16" s="30">
        <f>Inbound[[#This Row],[Expected Receipt Date]]</f>
        <v>44015</v>
      </c>
      <c r="K16" s="31">
        <f>IF(Inbound[[#This Row],[Unloading Date]]="","",Inbound[[#This Row],[Unloading Date]]+8-WEEKDAY(Inbound[[#This Row],[Unloading Date]]))</f>
        <v>44017</v>
      </c>
      <c r="L16" s="42" t="s">
        <v>86</v>
      </c>
    </row>
    <row r="17" spans="1:12" x14ac:dyDescent="0.25">
      <c r="A17" s="34">
        <v>44014</v>
      </c>
      <c r="B17" s="21" t="s">
        <v>41</v>
      </c>
      <c r="C17" s="21">
        <v>19109</v>
      </c>
      <c r="D17" s="21" t="s">
        <v>13</v>
      </c>
      <c r="E17" s="22">
        <v>17857</v>
      </c>
      <c r="F17" s="21" t="s">
        <v>10</v>
      </c>
      <c r="G17" s="23">
        <v>44004</v>
      </c>
      <c r="H17" s="21" t="s">
        <v>14</v>
      </c>
      <c r="I17" s="23">
        <v>44018</v>
      </c>
      <c r="J17" s="30">
        <f>Inbound[[#This Row],[Expected Receipt Date]]</f>
        <v>44018</v>
      </c>
      <c r="K17" s="31">
        <f>IF(Inbound[[#This Row],[Unloading Date]]="","",Inbound[[#This Row],[Unloading Date]]+8-WEEKDAY(Inbound[[#This Row],[Unloading Date]]))</f>
        <v>44017</v>
      </c>
      <c r="L17" s="42" t="s">
        <v>86</v>
      </c>
    </row>
    <row r="18" spans="1:12" x14ac:dyDescent="0.25">
      <c r="A18" s="34">
        <v>44014</v>
      </c>
      <c r="B18" s="21" t="s">
        <v>43</v>
      </c>
      <c r="C18" s="21">
        <v>19110</v>
      </c>
      <c r="D18" s="21" t="s">
        <v>21</v>
      </c>
      <c r="E18" s="22">
        <v>17857</v>
      </c>
      <c r="F18" s="21" t="s">
        <v>10</v>
      </c>
      <c r="G18" s="23">
        <v>44005</v>
      </c>
      <c r="H18" s="21" t="s">
        <v>11</v>
      </c>
      <c r="I18" s="23">
        <v>44018</v>
      </c>
      <c r="J18" s="30">
        <f>Inbound[[#This Row],[Expected Receipt Date]]</f>
        <v>44018</v>
      </c>
      <c r="K18" s="31">
        <f>IF(Inbound[[#This Row],[Unloading Date]]="","",Inbound[[#This Row],[Unloading Date]]+8-WEEKDAY(Inbound[[#This Row],[Unloading Date]]))</f>
        <v>44017</v>
      </c>
      <c r="L18" s="45" t="s">
        <v>86</v>
      </c>
    </row>
    <row r="19" spans="1:12" x14ac:dyDescent="0.25">
      <c r="A19" s="34">
        <v>44014</v>
      </c>
      <c r="B19" s="21" t="s">
        <v>44</v>
      </c>
      <c r="C19" s="21">
        <v>19128</v>
      </c>
      <c r="D19" s="21" t="s">
        <v>17</v>
      </c>
      <c r="E19" s="22">
        <v>17857</v>
      </c>
      <c r="F19" s="21" t="s">
        <v>10</v>
      </c>
      <c r="G19" s="23">
        <v>44006</v>
      </c>
      <c r="H19" s="21" t="s">
        <v>18</v>
      </c>
      <c r="I19" s="23">
        <v>44018</v>
      </c>
      <c r="J19" s="30">
        <f>Inbound[[#This Row],[Expected Receipt Date]]</f>
        <v>44018</v>
      </c>
      <c r="K19" s="31">
        <f>IF(Inbound[[#This Row],[Unloading Date]]="","",Inbound[[#This Row],[Unloading Date]]+8-WEEKDAY(Inbound[[#This Row],[Unloading Date]]))</f>
        <v>44017</v>
      </c>
      <c r="L19" s="42" t="s">
        <v>86</v>
      </c>
    </row>
    <row r="20" spans="1:12" x14ac:dyDescent="0.25">
      <c r="A20" s="34">
        <v>44018</v>
      </c>
      <c r="B20" s="21" t="s">
        <v>42</v>
      </c>
      <c r="C20" s="21">
        <v>19107</v>
      </c>
      <c r="D20" s="21" t="s">
        <v>12</v>
      </c>
      <c r="E20" s="22">
        <v>17857</v>
      </c>
      <c r="F20" s="21" t="s">
        <v>10</v>
      </c>
      <c r="G20" s="23">
        <v>44005</v>
      </c>
      <c r="H20" s="21" t="s">
        <v>11</v>
      </c>
      <c r="I20" s="23">
        <v>44021</v>
      </c>
      <c r="J20" s="30">
        <f>Inbound[[#This Row],[Expected Receipt Date]]</f>
        <v>44021</v>
      </c>
      <c r="K20" s="31">
        <f>IF(Inbound[[#This Row],[Unloading Date]]="","",Inbound[[#This Row],[Unloading Date]]+8-WEEKDAY(Inbound[[#This Row],[Unloading Date]]))</f>
        <v>44024</v>
      </c>
      <c r="L20" s="42" t="s">
        <v>86</v>
      </c>
    </row>
    <row r="21" spans="1:12" x14ac:dyDescent="0.25">
      <c r="A21" s="34">
        <v>44018</v>
      </c>
      <c r="B21" s="21" t="s">
        <v>40</v>
      </c>
      <c r="C21" s="21">
        <v>19108</v>
      </c>
      <c r="D21" s="21" t="s">
        <v>19</v>
      </c>
      <c r="E21" s="22">
        <v>17857</v>
      </c>
      <c r="F21" s="21" t="s">
        <v>10</v>
      </c>
      <c r="G21" s="23">
        <v>44004</v>
      </c>
      <c r="H21" s="21" t="s">
        <v>14</v>
      </c>
      <c r="I21" s="23">
        <v>44021</v>
      </c>
      <c r="J21" s="30">
        <f>Inbound[[#This Row],[Expected Receipt Date]]</f>
        <v>44021</v>
      </c>
      <c r="K21" s="31">
        <f>IF(Inbound[[#This Row],[Unloading Date]]="","",Inbound[[#This Row],[Unloading Date]]+8-WEEKDAY(Inbound[[#This Row],[Unloading Date]]))</f>
        <v>44024</v>
      </c>
      <c r="L21" s="42" t="s">
        <v>86</v>
      </c>
    </row>
    <row r="22" spans="1:12" x14ac:dyDescent="0.25">
      <c r="A22" s="34">
        <v>44019</v>
      </c>
      <c r="B22" s="21" t="s">
        <v>45</v>
      </c>
      <c r="C22" s="21">
        <v>23852</v>
      </c>
      <c r="D22" s="21" t="s">
        <v>46</v>
      </c>
      <c r="E22" s="22">
        <v>17857</v>
      </c>
      <c r="F22" s="21" t="s">
        <v>10</v>
      </c>
      <c r="G22" s="23">
        <v>44006</v>
      </c>
      <c r="H22" s="21" t="s">
        <v>18</v>
      </c>
      <c r="I22" s="23">
        <v>44021</v>
      </c>
      <c r="J22" s="30">
        <f>Inbound[[#This Row],[Expected Receipt Date]]</f>
        <v>44021</v>
      </c>
      <c r="K22" s="31">
        <f>IF(Inbound[[#This Row],[Unloading Date]]="","",Inbound[[#This Row],[Unloading Date]]+8-WEEKDAY(Inbound[[#This Row],[Unloading Date]]))</f>
        <v>44024</v>
      </c>
      <c r="L22" s="42" t="s">
        <v>86</v>
      </c>
    </row>
    <row r="23" spans="1:12" x14ac:dyDescent="0.25">
      <c r="A23" s="34">
        <v>44019</v>
      </c>
      <c r="B23" s="21" t="s">
        <v>32</v>
      </c>
      <c r="C23" s="21">
        <v>23855</v>
      </c>
      <c r="D23" s="21" t="s">
        <v>33</v>
      </c>
      <c r="E23" s="22">
        <v>17857</v>
      </c>
      <c r="F23" s="21" t="s">
        <v>10</v>
      </c>
      <c r="G23" s="23">
        <v>43987</v>
      </c>
      <c r="H23" s="21" t="s">
        <v>15</v>
      </c>
      <c r="I23" s="23">
        <v>44022</v>
      </c>
      <c r="J23" s="30">
        <f>Inbound[[#This Row],[Expected Receipt Date]]</f>
        <v>44022</v>
      </c>
      <c r="K23" s="31">
        <f>IF(Inbound[[#This Row],[Unloading Date]]="","",Inbound[[#This Row],[Unloading Date]]+8-WEEKDAY(Inbound[[#This Row],[Unloading Date]]))</f>
        <v>44024</v>
      </c>
      <c r="L23" s="45" t="s">
        <v>86</v>
      </c>
    </row>
    <row r="24" spans="1:12" x14ac:dyDescent="0.25">
      <c r="A24" s="34">
        <v>44020</v>
      </c>
      <c r="B24" s="21" t="s">
        <v>50</v>
      </c>
      <c r="C24" s="21">
        <v>19128</v>
      </c>
      <c r="D24" s="21" t="s">
        <v>17</v>
      </c>
      <c r="E24" s="22">
        <v>17857</v>
      </c>
      <c r="F24" s="21" t="s">
        <v>10</v>
      </c>
      <c r="G24" s="23">
        <v>44013</v>
      </c>
      <c r="H24" s="21" t="s">
        <v>18</v>
      </c>
      <c r="I24" s="23">
        <v>44025</v>
      </c>
      <c r="J24" s="30">
        <f>Inbound[[#This Row],[Expected Receipt Date]]</f>
        <v>44025</v>
      </c>
      <c r="K24" s="31">
        <f>IF(Inbound[[#This Row],[Unloading Date]]="","",Inbound[[#This Row],[Unloading Date]]+8-WEEKDAY(Inbound[[#This Row],[Unloading Date]]))</f>
        <v>44024</v>
      </c>
      <c r="L24" s="42" t="s">
        <v>86</v>
      </c>
    </row>
    <row r="25" spans="1:12" x14ac:dyDescent="0.25">
      <c r="A25" s="34">
        <v>44022</v>
      </c>
      <c r="B25" s="21" t="s">
        <v>47</v>
      </c>
      <c r="C25" s="21">
        <v>19109</v>
      </c>
      <c r="D25" s="21" t="s">
        <v>13</v>
      </c>
      <c r="E25" s="22">
        <v>17857</v>
      </c>
      <c r="F25" s="21" t="s">
        <v>10</v>
      </c>
      <c r="G25" s="23">
        <v>44011</v>
      </c>
      <c r="H25" s="21" t="s">
        <v>14</v>
      </c>
      <c r="I25" s="23">
        <v>44025</v>
      </c>
      <c r="J25" s="30">
        <f>Inbound[[#This Row],[Expected Receipt Date]]</f>
        <v>44025</v>
      </c>
      <c r="K25" s="31">
        <f>IF(Inbound[[#This Row],[Unloading Date]]="","",Inbound[[#This Row],[Unloading Date]]+8-WEEKDAY(Inbound[[#This Row],[Unloading Date]]))</f>
        <v>44024</v>
      </c>
      <c r="L25" s="42" t="s">
        <v>86</v>
      </c>
    </row>
    <row r="26" spans="1:12" x14ac:dyDescent="0.25">
      <c r="A26" s="34">
        <v>44025</v>
      </c>
      <c r="B26" s="21" t="s">
        <v>49</v>
      </c>
      <c r="C26" s="21">
        <v>19107</v>
      </c>
      <c r="D26" s="21" t="s">
        <v>12</v>
      </c>
      <c r="E26" s="22">
        <v>17857</v>
      </c>
      <c r="F26" s="21" t="s">
        <v>10</v>
      </c>
      <c r="G26" s="23">
        <v>44012</v>
      </c>
      <c r="H26" s="21" t="s">
        <v>11</v>
      </c>
      <c r="I26" s="23">
        <v>44028</v>
      </c>
      <c r="J26" s="30">
        <f>Inbound[[#This Row],[Expected Receipt Date]]</f>
        <v>44028</v>
      </c>
      <c r="K26" s="31">
        <f>IF(Inbound[[#This Row],[Unloading Date]]="","",Inbound[[#This Row],[Unloading Date]]+8-WEEKDAY(Inbound[[#This Row],[Unloading Date]]))</f>
        <v>44031</v>
      </c>
      <c r="L26" s="42" t="s">
        <v>86</v>
      </c>
    </row>
    <row r="27" spans="1:12" x14ac:dyDescent="0.25">
      <c r="A27" s="34">
        <v>44027</v>
      </c>
      <c r="B27" s="21" t="s">
        <v>54</v>
      </c>
      <c r="C27" s="21">
        <v>19110</v>
      </c>
      <c r="D27" s="21" t="s">
        <v>21</v>
      </c>
      <c r="E27" s="22">
        <v>17857</v>
      </c>
      <c r="F27" s="21" t="s">
        <v>10</v>
      </c>
      <c r="G27" s="23">
        <v>44019</v>
      </c>
      <c r="H27" s="21" t="s">
        <v>11</v>
      </c>
      <c r="I27" s="23">
        <v>44035</v>
      </c>
      <c r="J27" s="36">
        <f>Inbound[[#This Row],[Expected Receipt Date]]</f>
        <v>44035</v>
      </c>
      <c r="K27" s="31">
        <f>IF(Inbound[[#This Row],[Unloading Date]]="","",Inbound[[#This Row],[Unloading Date]]+8-WEEKDAY(Inbound[[#This Row],[Unloading Date]]))</f>
        <v>44031</v>
      </c>
      <c r="L27" s="45" t="s">
        <v>86</v>
      </c>
    </row>
    <row r="28" spans="1:12" x14ac:dyDescent="0.25">
      <c r="A28" s="34">
        <v>44027</v>
      </c>
      <c r="B28" s="21" t="s">
        <v>55</v>
      </c>
      <c r="C28" s="21">
        <v>19128</v>
      </c>
      <c r="D28" s="21" t="s">
        <v>17</v>
      </c>
      <c r="E28" s="22">
        <v>17857</v>
      </c>
      <c r="F28" s="21" t="s">
        <v>10</v>
      </c>
      <c r="G28" s="23">
        <v>44020</v>
      </c>
      <c r="H28" s="21" t="s">
        <v>18</v>
      </c>
      <c r="I28" s="23">
        <v>44035</v>
      </c>
      <c r="J28" s="36">
        <f>Inbound[[#This Row],[Expected Receipt Date]]</f>
        <v>44035</v>
      </c>
      <c r="K28" s="31">
        <f>IF(Inbound[[#This Row],[Unloading Date]]="","",Inbound[[#This Row],[Unloading Date]]+8-WEEKDAY(Inbound[[#This Row],[Unloading Date]]))</f>
        <v>44031</v>
      </c>
      <c r="L28" s="42" t="s">
        <v>86</v>
      </c>
    </row>
    <row r="29" spans="1:12" x14ac:dyDescent="0.25">
      <c r="A29" s="34">
        <v>44029</v>
      </c>
      <c r="B29" s="21" t="s">
        <v>53</v>
      </c>
      <c r="C29" s="21">
        <v>19107</v>
      </c>
      <c r="D29" s="21" t="s">
        <v>12</v>
      </c>
      <c r="E29" s="22">
        <v>17857</v>
      </c>
      <c r="F29" s="21" t="s">
        <v>10</v>
      </c>
      <c r="G29" s="23">
        <v>44019</v>
      </c>
      <c r="H29" s="21" t="s">
        <v>11</v>
      </c>
      <c r="I29" s="23">
        <v>44032</v>
      </c>
      <c r="J29" s="36">
        <f>Inbound[[#This Row],[Expected Receipt Date]]</f>
        <v>44032</v>
      </c>
      <c r="K29" s="31">
        <f>IF(Inbound[[#This Row],[Unloading Date]]="","",Inbound[[#This Row],[Unloading Date]]+8-WEEKDAY(Inbound[[#This Row],[Unloading Date]]))</f>
        <v>44031</v>
      </c>
      <c r="L29" s="42" t="s">
        <v>86</v>
      </c>
    </row>
    <row r="30" spans="1:12" x14ac:dyDescent="0.25">
      <c r="A30" s="34">
        <v>44029</v>
      </c>
      <c r="B30" s="21" t="s">
        <v>52</v>
      </c>
      <c r="C30" s="21">
        <v>19108</v>
      </c>
      <c r="D30" s="21" t="s">
        <v>19</v>
      </c>
      <c r="E30" s="22">
        <v>17857</v>
      </c>
      <c r="F30" s="21" t="s">
        <v>10</v>
      </c>
      <c r="G30" s="23">
        <v>44018</v>
      </c>
      <c r="H30" s="21" t="s">
        <v>14</v>
      </c>
      <c r="I30" s="23">
        <v>44032</v>
      </c>
      <c r="J30" s="36">
        <f>Inbound[[#This Row],[Expected Receipt Date]]</f>
        <v>44032</v>
      </c>
      <c r="K30" s="31">
        <f>IF(Inbound[[#This Row],[Unloading Date]]="","",Inbound[[#This Row],[Unloading Date]]+8-WEEKDAY(Inbound[[#This Row],[Unloading Date]]))</f>
        <v>44031</v>
      </c>
      <c r="L30" s="42" t="s">
        <v>86</v>
      </c>
    </row>
    <row r="31" spans="1:12" x14ac:dyDescent="0.25">
      <c r="A31" s="34">
        <v>44029</v>
      </c>
      <c r="B31" s="21" t="s">
        <v>51</v>
      </c>
      <c r="C31" s="21">
        <v>19109</v>
      </c>
      <c r="D31" s="21" t="s">
        <v>13</v>
      </c>
      <c r="E31" s="22">
        <v>17857</v>
      </c>
      <c r="F31" s="21" t="s">
        <v>10</v>
      </c>
      <c r="G31" s="23">
        <v>44018</v>
      </c>
      <c r="H31" s="21" t="s">
        <v>14</v>
      </c>
      <c r="I31" s="23">
        <v>44032</v>
      </c>
      <c r="J31" s="36">
        <f>Inbound[[#This Row],[Expected Receipt Date]]</f>
        <v>44032</v>
      </c>
      <c r="K31" s="31">
        <f>IF(Inbound[[#This Row],[Unloading Date]]="","",Inbound[[#This Row],[Unloading Date]]+8-WEEKDAY(Inbound[[#This Row],[Unloading Date]]))</f>
        <v>44031</v>
      </c>
      <c r="L31" s="42" t="s">
        <v>86</v>
      </c>
    </row>
    <row r="32" spans="1:12" x14ac:dyDescent="0.25">
      <c r="A32" s="43">
        <v>44032</v>
      </c>
      <c r="B32" s="18" t="s">
        <v>64</v>
      </c>
      <c r="C32" s="18">
        <v>19109</v>
      </c>
      <c r="D32" s="18" t="s">
        <v>13</v>
      </c>
      <c r="E32" s="19">
        <v>17857</v>
      </c>
      <c r="F32" s="18" t="s">
        <v>10</v>
      </c>
      <c r="G32" s="20">
        <v>44022</v>
      </c>
      <c r="H32" s="18" t="s">
        <v>15</v>
      </c>
      <c r="I32" s="20">
        <v>44035</v>
      </c>
      <c r="J32" s="30">
        <f>Inbound[[#This Row],[Expected Receipt Date]]</f>
        <v>44035</v>
      </c>
      <c r="K32" s="20">
        <f>IF(Inbound[[#This Row],[Unloading Date]]="","",Inbound[[#This Row],[Unloading Date]]+8-WEEKDAY(Inbound[[#This Row],[Unloading Date]]))</f>
        <v>44038</v>
      </c>
      <c r="L32" s="42" t="s">
        <v>86</v>
      </c>
    </row>
    <row r="33" spans="1:12" x14ac:dyDescent="0.25">
      <c r="A33" s="37">
        <v>44032</v>
      </c>
      <c r="B33" s="38" t="s">
        <v>61</v>
      </c>
      <c r="C33" s="38">
        <v>19110</v>
      </c>
      <c r="D33" s="38" t="s">
        <v>21</v>
      </c>
      <c r="E33" s="39">
        <v>17857</v>
      </c>
      <c r="F33" s="38" t="s">
        <v>10</v>
      </c>
      <c r="G33" s="40">
        <v>44022</v>
      </c>
      <c r="H33" s="38" t="s">
        <v>15</v>
      </c>
      <c r="I33" s="40">
        <v>44035</v>
      </c>
      <c r="J33" s="41">
        <f>Inbound[[#This Row],[Expected Receipt Date]]</f>
        <v>44035</v>
      </c>
      <c r="K33" s="40">
        <f>IF(Inbound[[#This Row],[Unloading Date]]="","",Inbound[[#This Row],[Unloading Date]]+8-WEEKDAY(Inbound[[#This Row],[Unloading Date]]))</f>
        <v>44038</v>
      </c>
      <c r="L33" s="42" t="s">
        <v>86</v>
      </c>
    </row>
    <row r="34" spans="1:12" x14ac:dyDescent="0.25">
      <c r="A34" s="37">
        <v>44033</v>
      </c>
      <c r="B34" s="38" t="s">
        <v>62</v>
      </c>
      <c r="C34" s="38">
        <v>19108</v>
      </c>
      <c r="D34" s="38" t="s">
        <v>19</v>
      </c>
      <c r="E34" s="39">
        <v>17857</v>
      </c>
      <c r="F34" s="38" t="s">
        <v>10</v>
      </c>
      <c r="G34" s="40">
        <v>44022</v>
      </c>
      <c r="H34" s="38" t="s">
        <v>15</v>
      </c>
      <c r="I34" s="40">
        <v>44035</v>
      </c>
      <c r="J34" s="41">
        <f>Inbound[[#This Row],[Expected Receipt Date]]</f>
        <v>44035</v>
      </c>
      <c r="K34" s="40">
        <f>IF(Inbound[[#This Row],[Unloading Date]]="","",Inbound[[#This Row],[Unloading Date]]+8-WEEKDAY(Inbound[[#This Row],[Unloading Date]]))</f>
        <v>44038</v>
      </c>
      <c r="L34" s="42" t="s">
        <v>86</v>
      </c>
    </row>
    <row r="35" spans="1:12" x14ac:dyDescent="0.25">
      <c r="A35" s="43">
        <v>44033</v>
      </c>
      <c r="B35" s="18" t="s">
        <v>58</v>
      </c>
      <c r="C35" s="18">
        <v>19128</v>
      </c>
      <c r="D35" s="18" t="s">
        <v>17</v>
      </c>
      <c r="E35" s="19">
        <v>17857</v>
      </c>
      <c r="F35" s="18" t="s">
        <v>10</v>
      </c>
      <c r="G35" s="20">
        <v>44022</v>
      </c>
      <c r="H35" s="18" t="s">
        <v>15</v>
      </c>
      <c r="I35" s="20">
        <v>44035</v>
      </c>
      <c r="J35" s="30">
        <f>Inbound[[#This Row],[Expected Receipt Date]]</f>
        <v>44035</v>
      </c>
      <c r="K35" s="20">
        <f>IF(Inbound[[#This Row],[Unloading Date]]="","",Inbound[[#This Row],[Unloading Date]]+8-WEEKDAY(Inbound[[#This Row],[Unloading Date]]))</f>
        <v>44038</v>
      </c>
      <c r="L35" s="42" t="s">
        <v>86</v>
      </c>
    </row>
    <row r="36" spans="1:12" x14ac:dyDescent="0.25">
      <c r="A36" s="37">
        <v>44033</v>
      </c>
      <c r="B36" s="38" t="s">
        <v>63</v>
      </c>
      <c r="C36" s="38">
        <v>19109</v>
      </c>
      <c r="D36" s="38" t="s">
        <v>13</v>
      </c>
      <c r="E36" s="39">
        <v>17857</v>
      </c>
      <c r="F36" s="38" t="s">
        <v>10</v>
      </c>
      <c r="G36" s="40">
        <v>44022</v>
      </c>
      <c r="H36" s="38" t="s">
        <v>15</v>
      </c>
      <c r="I36" s="40">
        <v>44040</v>
      </c>
      <c r="J36" s="41">
        <f>Inbound[[#This Row],[Expected Receipt Date]]</f>
        <v>44040</v>
      </c>
      <c r="K36" s="40">
        <f>IF(Inbound[[#This Row],[Unloading Date]]="","",Inbound[[#This Row],[Unloading Date]]+8-WEEKDAY(Inbound[[#This Row],[Unloading Date]]))</f>
        <v>44038</v>
      </c>
      <c r="L36" s="42" t="s">
        <v>86</v>
      </c>
    </row>
    <row r="37" spans="1:12" x14ac:dyDescent="0.25">
      <c r="A37" s="37">
        <v>44034</v>
      </c>
      <c r="B37" s="38" t="s">
        <v>59</v>
      </c>
      <c r="C37" s="38">
        <v>19128</v>
      </c>
      <c r="D37" s="38" t="s">
        <v>17</v>
      </c>
      <c r="E37" s="39">
        <v>17857</v>
      </c>
      <c r="F37" s="38" t="s">
        <v>10</v>
      </c>
      <c r="G37" s="40">
        <v>44022</v>
      </c>
      <c r="H37" s="38" t="s">
        <v>15</v>
      </c>
      <c r="I37" s="40">
        <v>44035</v>
      </c>
      <c r="J37" s="41">
        <f>Inbound[[#This Row],[Expected Receipt Date]]</f>
        <v>44035</v>
      </c>
      <c r="K37" s="40">
        <f>IF(Inbound[[#This Row],[Unloading Date]]="","",Inbound[[#This Row],[Unloading Date]]+8-WEEKDAY(Inbound[[#This Row],[Unloading Date]]))</f>
        <v>44038</v>
      </c>
      <c r="L37" s="42" t="s">
        <v>86</v>
      </c>
    </row>
    <row r="38" spans="1:12" x14ac:dyDescent="0.25">
      <c r="A38" s="43">
        <v>44034</v>
      </c>
      <c r="B38" s="18" t="s">
        <v>60</v>
      </c>
      <c r="C38" s="18">
        <v>19107</v>
      </c>
      <c r="D38" s="18" t="s">
        <v>12</v>
      </c>
      <c r="E38" s="19">
        <v>17857</v>
      </c>
      <c r="F38" s="18" t="s">
        <v>10</v>
      </c>
      <c r="G38" s="20">
        <v>44022</v>
      </c>
      <c r="H38" s="18" t="s">
        <v>15</v>
      </c>
      <c r="I38" s="20">
        <v>44040</v>
      </c>
      <c r="J38" s="41">
        <f>Inbound[[#This Row],[Expected Receipt Date]]</f>
        <v>44040</v>
      </c>
      <c r="K38" s="20">
        <f>IF(Inbound[[#This Row],[Unloading Date]]="","",Inbound[[#This Row],[Unloading Date]]+8-WEEKDAY(Inbound[[#This Row],[Unloading Date]]))</f>
        <v>44038</v>
      </c>
      <c r="L38" s="42" t="s">
        <v>86</v>
      </c>
    </row>
    <row r="39" spans="1:12" x14ac:dyDescent="0.25">
      <c r="A39" s="37">
        <v>44034</v>
      </c>
      <c r="B39" s="38" t="s">
        <v>65</v>
      </c>
      <c r="C39" s="38">
        <v>19109</v>
      </c>
      <c r="D39" s="38" t="s">
        <v>13</v>
      </c>
      <c r="E39" s="39">
        <v>17857</v>
      </c>
      <c r="F39" s="38" t="s">
        <v>10</v>
      </c>
      <c r="G39" s="40">
        <v>44025</v>
      </c>
      <c r="H39" s="38" t="s">
        <v>14</v>
      </c>
      <c r="I39" s="40">
        <v>44040</v>
      </c>
      <c r="J39" s="41">
        <f>Inbound[[#This Row],[Expected Receipt Date]]</f>
        <v>44040</v>
      </c>
      <c r="K39" s="40">
        <f>IF(Inbound[[#This Row],[Unloading Date]]="","",Inbound[[#This Row],[Unloading Date]]+8-WEEKDAY(Inbound[[#This Row],[Unloading Date]]))</f>
        <v>44038</v>
      </c>
      <c r="L39" s="42" t="s">
        <v>86</v>
      </c>
    </row>
    <row r="40" spans="1:12" x14ac:dyDescent="0.25">
      <c r="A40" s="43">
        <v>44035</v>
      </c>
      <c r="B40" s="18" t="s">
        <v>57</v>
      </c>
      <c r="C40" s="18">
        <v>19107</v>
      </c>
      <c r="D40" s="18" t="s">
        <v>12</v>
      </c>
      <c r="E40" s="19">
        <v>17857</v>
      </c>
      <c r="F40" s="18" t="s">
        <v>10</v>
      </c>
      <c r="G40" s="20">
        <v>44022</v>
      </c>
      <c r="H40" s="18" t="s">
        <v>15</v>
      </c>
      <c r="I40" s="20">
        <v>44040</v>
      </c>
      <c r="J40" s="41">
        <f>Inbound[[#This Row],[Expected Receipt Date]]</f>
        <v>44040</v>
      </c>
      <c r="K40" s="20">
        <f>IF(Inbound[[#This Row],[Unloading Date]]="","",Inbound[[#This Row],[Unloading Date]]+8-WEEKDAY(Inbound[[#This Row],[Unloading Date]]))</f>
        <v>44038</v>
      </c>
      <c r="L40" s="42" t="s">
        <v>86</v>
      </c>
    </row>
    <row r="41" spans="1:12" x14ac:dyDescent="0.25">
      <c r="A41" s="37">
        <v>44040</v>
      </c>
      <c r="B41" s="38" t="s">
        <v>66</v>
      </c>
      <c r="C41" s="38">
        <v>19108</v>
      </c>
      <c r="D41" s="38" t="s">
        <v>19</v>
      </c>
      <c r="E41" s="39">
        <v>17857</v>
      </c>
      <c r="F41" s="38" t="s">
        <v>10</v>
      </c>
      <c r="G41" s="40">
        <v>44032</v>
      </c>
      <c r="H41" s="38" t="s">
        <v>14</v>
      </c>
      <c r="I41" s="40">
        <v>44043</v>
      </c>
      <c r="J41" s="41">
        <f>Inbound[[#This Row],[Expected Receipt Date]]</f>
        <v>44043</v>
      </c>
      <c r="K41" s="40">
        <f>IF(Inbound[[#This Row],[Unloading Date]]="","",Inbound[[#This Row],[Unloading Date]]+8-WEEKDAY(Inbound[[#This Row],[Unloading Date]]))</f>
        <v>44045</v>
      </c>
      <c r="L41" s="42" t="s">
        <v>86</v>
      </c>
    </row>
    <row r="42" spans="1:12" x14ac:dyDescent="0.25">
      <c r="A42" s="37">
        <v>44042</v>
      </c>
      <c r="B42" s="38" t="s">
        <v>68</v>
      </c>
      <c r="C42" s="38">
        <v>19128</v>
      </c>
      <c r="D42" s="38" t="s">
        <v>17</v>
      </c>
      <c r="E42" s="39">
        <v>17857</v>
      </c>
      <c r="F42" s="38" t="s">
        <v>10</v>
      </c>
      <c r="G42" s="40">
        <v>44034</v>
      </c>
      <c r="H42" s="38" t="s">
        <v>18</v>
      </c>
      <c r="I42" s="40">
        <v>44047</v>
      </c>
      <c r="J42" s="41">
        <f>Inbound[[#This Row],[Expected Receipt Date]]</f>
        <v>44047</v>
      </c>
      <c r="K42" s="40">
        <f>IF(Inbound[[#This Row],[Unloading Date]]="","",Inbound[[#This Row],[Unloading Date]]+8-WEEKDAY(Inbound[[#This Row],[Unloading Date]]))</f>
        <v>44045</v>
      </c>
      <c r="L42" s="42" t="s">
        <v>86</v>
      </c>
    </row>
    <row r="43" spans="1:12" x14ac:dyDescent="0.25">
      <c r="A43" s="37">
        <v>44043</v>
      </c>
      <c r="B43" s="38" t="s">
        <v>67</v>
      </c>
      <c r="C43" s="38">
        <v>19109</v>
      </c>
      <c r="D43" s="38" t="s">
        <v>13</v>
      </c>
      <c r="E43" s="39">
        <v>17857</v>
      </c>
      <c r="F43" s="38" t="s">
        <v>10</v>
      </c>
      <c r="G43" s="40">
        <v>44032</v>
      </c>
      <c r="H43" s="38" t="s">
        <v>14</v>
      </c>
      <c r="I43" s="40">
        <v>44047</v>
      </c>
      <c r="J43" s="41">
        <f>Inbound[[#This Row],[Expected Receipt Date]]</f>
        <v>44047</v>
      </c>
      <c r="K43" s="40">
        <f>IF(Inbound[[#This Row],[Unloading Date]]="","",Inbound[[#This Row],[Unloading Date]]+8-WEEKDAY(Inbound[[#This Row],[Unloading Date]]))</f>
        <v>44045</v>
      </c>
      <c r="L43" s="42" t="s">
        <v>86</v>
      </c>
    </row>
    <row r="44" spans="1:12" x14ac:dyDescent="0.25">
      <c r="A44" s="43">
        <v>44048</v>
      </c>
      <c r="B44" s="18" t="s">
        <v>71</v>
      </c>
      <c r="C44" s="18">
        <v>19107</v>
      </c>
      <c r="D44" s="18" t="s">
        <v>12</v>
      </c>
      <c r="E44" s="19">
        <v>17857</v>
      </c>
      <c r="F44" s="18" t="s">
        <v>10</v>
      </c>
      <c r="G44" s="20">
        <v>44040</v>
      </c>
      <c r="H44" s="18" t="s">
        <v>11</v>
      </c>
      <c r="I44" s="20">
        <v>44049</v>
      </c>
      <c r="J44" s="41">
        <f>Inbound[[#This Row],[Expected Receipt Date]]</f>
        <v>44049</v>
      </c>
      <c r="K44" s="20">
        <f>IF(Inbound[[#This Row],[Unloading Date]]="","",Inbound[[#This Row],[Unloading Date]]+8-WEEKDAY(Inbound[[#This Row],[Unloading Date]]))</f>
        <v>44052</v>
      </c>
      <c r="L44" s="42" t="s">
        <v>86</v>
      </c>
    </row>
    <row r="45" spans="1:12" x14ac:dyDescent="0.25">
      <c r="A45" s="43">
        <v>44053</v>
      </c>
      <c r="B45" s="38" t="s">
        <v>56</v>
      </c>
      <c r="C45" s="38">
        <v>18380</v>
      </c>
      <c r="D45" s="38" t="s">
        <v>9</v>
      </c>
      <c r="E45" s="39">
        <v>17857</v>
      </c>
      <c r="F45" s="38" t="s">
        <v>10</v>
      </c>
      <c r="G45" s="40">
        <v>44020</v>
      </c>
      <c r="H45" s="38" t="s">
        <v>18</v>
      </c>
      <c r="I45" s="40">
        <v>44056</v>
      </c>
      <c r="J45" s="41">
        <f>Inbound[[#This Row],[Expected Receipt Date]]</f>
        <v>44056</v>
      </c>
      <c r="K45" s="20">
        <f>IF(Inbound[[#This Row],[Unloading Date]]="","",Inbound[[#This Row],[Unloading Date]]+8-WEEKDAY(Inbound[[#This Row],[Unloading Date]]))</f>
        <v>44059</v>
      </c>
      <c r="L45" s="42" t="s">
        <v>86</v>
      </c>
    </row>
    <row r="46" spans="1:12" x14ac:dyDescent="0.25">
      <c r="A46" s="37">
        <v>44054</v>
      </c>
      <c r="B46" s="38" t="s">
        <v>72</v>
      </c>
      <c r="C46" s="38">
        <v>19109</v>
      </c>
      <c r="D46" s="38" t="s">
        <v>13</v>
      </c>
      <c r="E46" s="39">
        <v>17857</v>
      </c>
      <c r="F46" s="38" t="s">
        <v>10</v>
      </c>
      <c r="G46" s="40">
        <v>44039</v>
      </c>
      <c r="H46" s="38" t="s">
        <v>14</v>
      </c>
      <c r="I46" s="40">
        <v>44056</v>
      </c>
      <c r="J46" s="41">
        <f>Inbound[[#This Row],[Expected Receipt Date]]</f>
        <v>44056</v>
      </c>
      <c r="K46" s="40">
        <f>IF(Inbound[[#This Row],[Unloading Date]]="","",Inbound[[#This Row],[Unloading Date]]+8-WEEKDAY(Inbound[[#This Row],[Unloading Date]]))</f>
        <v>44059</v>
      </c>
      <c r="L46" s="42" t="s">
        <v>86</v>
      </c>
    </row>
    <row r="47" spans="1:12" x14ac:dyDescent="0.25">
      <c r="A47" s="37">
        <v>44054</v>
      </c>
      <c r="B47" s="38" t="s">
        <v>73</v>
      </c>
      <c r="C47" s="38">
        <v>19128</v>
      </c>
      <c r="D47" s="38" t="s">
        <v>17</v>
      </c>
      <c r="E47" s="39">
        <v>17857</v>
      </c>
      <c r="F47" s="38" t="s">
        <v>10</v>
      </c>
      <c r="G47" s="40">
        <v>44041</v>
      </c>
      <c r="H47" s="38" t="s">
        <v>18</v>
      </c>
      <c r="I47" s="40">
        <v>44056</v>
      </c>
      <c r="J47" s="41">
        <f>Inbound[[#This Row],[Expected Receipt Date]]</f>
        <v>44056</v>
      </c>
      <c r="K47" s="40">
        <f>IF(Inbound[[#This Row],[Unloading Date]]="","",Inbound[[#This Row],[Unloading Date]]+8-WEEKDAY(Inbound[[#This Row],[Unloading Date]]))</f>
        <v>44059</v>
      </c>
      <c r="L47" s="42" t="s">
        <v>86</v>
      </c>
    </row>
    <row r="48" spans="1:12" x14ac:dyDescent="0.25">
      <c r="A48" s="37">
        <v>44054</v>
      </c>
      <c r="B48" s="38" t="s">
        <v>74</v>
      </c>
      <c r="C48" s="38">
        <v>19109</v>
      </c>
      <c r="D48" s="38" t="s">
        <v>13</v>
      </c>
      <c r="E48" s="39">
        <v>17857</v>
      </c>
      <c r="F48" s="38" t="s">
        <v>10</v>
      </c>
      <c r="G48" s="40">
        <v>44046</v>
      </c>
      <c r="H48" s="38" t="s">
        <v>14</v>
      </c>
      <c r="I48" s="40">
        <v>44057</v>
      </c>
      <c r="J48" s="41">
        <f>Inbound[[#This Row],[Expected Receipt Date]]</f>
        <v>44057</v>
      </c>
      <c r="K48" s="40">
        <f>IF(Inbound[[#This Row],[Unloading Date]]="","",Inbound[[#This Row],[Unloading Date]]+8-WEEKDAY(Inbound[[#This Row],[Unloading Date]]))</f>
        <v>44059</v>
      </c>
      <c r="L48" s="42" t="s">
        <v>86</v>
      </c>
    </row>
    <row r="49" spans="1:12" x14ac:dyDescent="0.25">
      <c r="A49" s="37">
        <v>44056</v>
      </c>
      <c r="B49" s="38" t="s">
        <v>75</v>
      </c>
      <c r="C49" s="38">
        <v>19110</v>
      </c>
      <c r="D49" s="38" t="s">
        <v>21</v>
      </c>
      <c r="E49" s="39">
        <v>17857</v>
      </c>
      <c r="F49" s="38" t="s">
        <v>10</v>
      </c>
      <c r="G49" s="40">
        <v>44047</v>
      </c>
      <c r="H49" s="38" t="s">
        <v>11</v>
      </c>
      <c r="I49" s="40">
        <v>44056</v>
      </c>
      <c r="J49" s="41">
        <f>Inbound[[#This Row],[Expected Receipt Date]]</f>
        <v>44056</v>
      </c>
      <c r="K49" s="40">
        <f>IF(Inbound[[#This Row],[Unloading Date]]="","",Inbound[[#This Row],[Unloading Date]]+8-WEEKDAY(Inbound[[#This Row],[Unloading Date]]))</f>
        <v>44059</v>
      </c>
      <c r="L49" s="42" t="s">
        <v>86</v>
      </c>
    </row>
    <row r="50" spans="1:12" x14ac:dyDescent="0.25">
      <c r="A50" s="37">
        <v>44056</v>
      </c>
      <c r="B50" s="38" t="s">
        <v>78</v>
      </c>
      <c r="C50" s="38">
        <v>19128</v>
      </c>
      <c r="D50" s="38" t="s">
        <v>17</v>
      </c>
      <c r="E50" s="39">
        <v>17857</v>
      </c>
      <c r="F50" s="38" t="s">
        <v>10</v>
      </c>
      <c r="G50" s="40">
        <v>44048</v>
      </c>
      <c r="H50" s="38" t="s">
        <v>18</v>
      </c>
      <c r="I50" s="40">
        <v>44056</v>
      </c>
      <c r="J50" s="41">
        <f>Inbound[[#This Row],[Expected Receipt Date]]</f>
        <v>44056</v>
      </c>
      <c r="K50" s="40">
        <f>IF(Inbound[[#This Row],[Unloading Date]]="","",Inbound[[#This Row],[Unloading Date]]+8-WEEKDAY(Inbound[[#This Row],[Unloading Date]]))</f>
        <v>44059</v>
      </c>
      <c r="L50" s="42" t="s">
        <v>86</v>
      </c>
    </row>
    <row r="51" spans="1:12" x14ac:dyDescent="0.25">
      <c r="A51" s="37">
        <v>44056</v>
      </c>
      <c r="B51" s="38" t="s">
        <v>77</v>
      </c>
      <c r="C51" s="38">
        <v>19108</v>
      </c>
      <c r="D51" s="38" t="s">
        <v>19</v>
      </c>
      <c r="E51" s="39">
        <v>17857</v>
      </c>
      <c r="F51" s="38" t="s">
        <v>10</v>
      </c>
      <c r="G51" s="40">
        <v>44046</v>
      </c>
      <c r="H51" s="38" t="s">
        <v>14</v>
      </c>
      <c r="I51" s="40">
        <v>44057</v>
      </c>
      <c r="J51" s="41">
        <f>Inbound[[#This Row],[Expected Receipt Date]]</f>
        <v>44057</v>
      </c>
      <c r="K51" s="40">
        <f>IF(Inbound[[#This Row],[Unloading Date]]="","",Inbound[[#This Row],[Unloading Date]]+8-WEEKDAY(Inbound[[#This Row],[Unloading Date]]))</f>
        <v>44059</v>
      </c>
      <c r="L51" s="42" t="s">
        <v>86</v>
      </c>
    </row>
    <row r="52" spans="1:12" x14ac:dyDescent="0.25">
      <c r="A52" s="43">
        <v>44057</v>
      </c>
      <c r="B52" s="18" t="s">
        <v>69</v>
      </c>
      <c r="C52" s="18">
        <v>23852</v>
      </c>
      <c r="D52" s="18" t="s">
        <v>46</v>
      </c>
      <c r="E52" s="19">
        <v>17857</v>
      </c>
      <c r="F52" s="18" t="s">
        <v>10</v>
      </c>
      <c r="G52" s="20">
        <v>44034</v>
      </c>
      <c r="H52" s="18" t="s">
        <v>18</v>
      </c>
      <c r="I52" s="20">
        <v>44056</v>
      </c>
      <c r="J52" s="30">
        <f>Inbound[[#This Row],[Expected Receipt Date]]</f>
        <v>44056</v>
      </c>
      <c r="K52" s="20">
        <f>IF(Inbound[[#This Row],[Unloading Date]]="","",Inbound[[#This Row],[Unloading Date]]+8-WEEKDAY(Inbound[[#This Row],[Unloading Date]]))</f>
        <v>44059</v>
      </c>
      <c r="L52" s="45" t="s">
        <v>86</v>
      </c>
    </row>
    <row r="53" spans="1:12" x14ac:dyDescent="0.25">
      <c r="A53" s="43">
        <v>44060</v>
      </c>
      <c r="B53" s="18" t="s">
        <v>76</v>
      </c>
      <c r="C53" s="18">
        <v>19107</v>
      </c>
      <c r="D53" s="18" t="s">
        <v>12</v>
      </c>
      <c r="E53" s="19">
        <v>17857</v>
      </c>
      <c r="F53" s="18" t="s">
        <v>10</v>
      </c>
      <c r="G53" s="20">
        <v>44047</v>
      </c>
      <c r="H53" s="18" t="s">
        <v>11</v>
      </c>
      <c r="I53" s="20">
        <v>44061</v>
      </c>
      <c r="J53" s="41">
        <f>Inbound[[#This Row],[Expected Receipt Date]]</f>
        <v>44061</v>
      </c>
      <c r="K53" s="20">
        <f>IF(Inbound[[#This Row],[Unloading Date]]="","",Inbound[[#This Row],[Unloading Date]]+8-WEEKDAY(Inbound[[#This Row],[Unloading Date]]))</f>
        <v>44066</v>
      </c>
      <c r="L53" s="42" t="s">
        <v>86</v>
      </c>
    </row>
    <row r="54" spans="1:12" x14ac:dyDescent="0.25">
      <c r="A54" s="37">
        <v>44062</v>
      </c>
      <c r="B54" s="38" t="s">
        <v>81</v>
      </c>
      <c r="C54" s="38">
        <v>19109</v>
      </c>
      <c r="D54" s="38" t="s">
        <v>13</v>
      </c>
      <c r="E54" s="39">
        <v>17857</v>
      </c>
      <c r="F54" s="38" t="s">
        <v>10</v>
      </c>
      <c r="G54" s="40">
        <v>44053</v>
      </c>
      <c r="H54" s="38" t="s">
        <v>14</v>
      </c>
      <c r="I54" s="40">
        <v>44064</v>
      </c>
      <c r="J54" s="41">
        <f>Inbound[[#This Row],[Expected Receipt Date]]</f>
        <v>44064</v>
      </c>
      <c r="K54" s="40">
        <f>IF(Inbound[[#This Row],[Unloading Date]]="","",Inbound[[#This Row],[Unloading Date]]+8-WEEKDAY(Inbound[[#This Row],[Unloading Date]]))</f>
        <v>44066</v>
      </c>
      <c r="L54" s="42" t="s">
        <v>86</v>
      </c>
    </row>
    <row r="55" spans="1:12" x14ac:dyDescent="0.25">
      <c r="A55" s="43">
        <v>44063</v>
      </c>
      <c r="B55" s="18" t="s">
        <v>82</v>
      </c>
      <c r="C55" s="18">
        <v>19107</v>
      </c>
      <c r="D55" s="18" t="s">
        <v>12</v>
      </c>
      <c r="E55" s="19">
        <v>17857</v>
      </c>
      <c r="F55" s="18" t="s">
        <v>10</v>
      </c>
      <c r="G55" s="20">
        <v>44054</v>
      </c>
      <c r="H55" s="18" t="s">
        <v>11</v>
      </c>
      <c r="I55" s="20">
        <v>44063</v>
      </c>
      <c r="J55" s="41">
        <f>Inbound[[#This Row],[Expected Receipt Date]]</f>
        <v>44063</v>
      </c>
      <c r="K55" s="20">
        <f>IF(Inbound[[#This Row],[Unloading Date]]="","",Inbound[[#This Row],[Unloading Date]]+8-WEEKDAY(Inbound[[#This Row],[Unloading Date]]))</f>
        <v>44066</v>
      </c>
      <c r="L55" s="42" t="s">
        <v>86</v>
      </c>
    </row>
    <row r="56" spans="1:12" x14ac:dyDescent="0.25">
      <c r="A56" s="37">
        <v>44063</v>
      </c>
      <c r="B56" s="38" t="s">
        <v>84</v>
      </c>
      <c r="C56" s="38">
        <v>19128</v>
      </c>
      <c r="D56" s="38" t="s">
        <v>17</v>
      </c>
      <c r="E56" s="39">
        <v>17857</v>
      </c>
      <c r="F56" s="38" t="s">
        <v>10</v>
      </c>
      <c r="G56" s="40">
        <v>44055</v>
      </c>
      <c r="H56" s="38" t="s">
        <v>18</v>
      </c>
      <c r="I56" s="40">
        <v>44063</v>
      </c>
      <c r="J56" s="41">
        <f>Inbound[[#This Row],[Expected Receipt Date]]</f>
        <v>44063</v>
      </c>
      <c r="K56" s="40">
        <f>IF(Inbound[[#This Row],[Unloading Date]]="","",Inbound[[#This Row],[Unloading Date]]+8-WEEKDAY(Inbound[[#This Row],[Unloading Date]]))</f>
        <v>44066</v>
      </c>
      <c r="L56" s="42" t="s">
        <v>86</v>
      </c>
    </row>
    <row r="57" spans="1:12" x14ac:dyDescent="0.25">
      <c r="A57" s="37">
        <v>44064</v>
      </c>
      <c r="B57" s="38" t="s">
        <v>83</v>
      </c>
      <c r="C57" s="38">
        <v>19173</v>
      </c>
      <c r="D57" s="38" t="s">
        <v>16</v>
      </c>
      <c r="E57" s="39">
        <v>17857</v>
      </c>
      <c r="F57" s="38" t="s">
        <v>10</v>
      </c>
      <c r="G57" s="40">
        <v>44054</v>
      </c>
      <c r="H57" s="38" t="s">
        <v>11</v>
      </c>
      <c r="I57" s="40">
        <v>44068</v>
      </c>
      <c r="J57" s="41">
        <f>Inbound[[#This Row],[Expected Receipt Date]]</f>
        <v>44068</v>
      </c>
      <c r="K57" s="40">
        <f>IF(Inbound[[#This Row],[Unloading Date]]="","",Inbound[[#This Row],[Unloading Date]]+8-WEEKDAY(Inbound[[#This Row],[Unloading Date]]))</f>
        <v>44066</v>
      </c>
      <c r="L57" s="42" t="s">
        <v>86</v>
      </c>
    </row>
    <row r="58" spans="1:12" x14ac:dyDescent="0.25">
      <c r="A58" s="37">
        <v>44070</v>
      </c>
      <c r="B58" s="38" t="s">
        <v>88</v>
      </c>
      <c r="C58" s="38">
        <v>19110</v>
      </c>
      <c r="D58" s="38" t="s">
        <v>21</v>
      </c>
      <c r="E58" s="39">
        <v>17857</v>
      </c>
      <c r="F58" s="38" t="s">
        <v>10</v>
      </c>
      <c r="G58" s="40">
        <v>44061</v>
      </c>
      <c r="H58" s="38" t="s">
        <v>11</v>
      </c>
      <c r="I58" s="40">
        <v>44070</v>
      </c>
      <c r="J58" s="41">
        <f>Inbound[[#This Row],[Expected Receipt Date]]</f>
        <v>44070</v>
      </c>
      <c r="K58" s="40">
        <f>IF(Inbound[[#This Row],[Unloading Date]]="","",Inbound[[#This Row],[Unloading Date]]+8-WEEKDAY(Inbound[[#This Row],[Unloading Date]]))</f>
        <v>44073</v>
      </c>
      <c r="L58" s="42" t="s">
        <v>86</v>
      </c>
    </row>
    <row r="59" spans="1:12" x14ac:dyDescent="0.25">
      <c r="A59" s="37">
        <v>44070</v>
      </c>
      <c r="B59" s="38" t="s">
        <v>91</v>
      </c>
      <c r="C59" s="38">
        <v>19128</v>
      </c>
      <c r="D59" s="38" t="s">
        <v>17</v>
      </c>
      <c r="E59" s="39">
        <v>17857</v>
      </c>
      <c r="F59" s="38" t="s">
        <v>10</v>
      </c>
      <c r="G59" s="40">
        <v>44062</v>
      </c>
      <c r="H59" s="38" t="s">
        <v>18</v>
      </c>
      <c r="I59" s="40">
        <v>44070</v>
      </c>
      <c r="J59" s="41">
        <f>Inbound[[#This Row],[Expected Receipt Date]]</f>
        <v>44070</v>
      </c>
      <c r="K59" s="40">
        <f>IF(Inbound[[#This Row],[Unloading Date]]="","",Inbound[[#This Row],[Unloading Date]]+8-WEEKDAY(Inbound[[#This Row],[Unloading Date]]))</f>
        <v>44073</v>
      </c>
      <c r="L59" s="42" t="s">
        <v>86</v>
      </c>
    </row>
    <row r="60" spans="1:12" x14ac:dyDescent="0.25">
      <c r="A60" s="43">
        <v>44070</v>
      </c>
      <c r="B60" s="18" t="s">
        <v>85</v>
      </c>
      <c r="C60" s="18">
        <v>23852</v>
      </c>
      <c r="D60" s="18" t="s">
        <v>46</v>
      </c>
      <c r="E60" s="19">
        <v>17857</v>
      </c>
      <c r="F60" s="18" t="s">
        <v>10</v>
      </c>
      <c r="G60" s="20">
        <v>44055</v>
      </c>
      <c r="H60" s="18" t="s">
        <v>18</v>
      </c>
      <c r="I60" s="20">
        <v>44070</v>
      </c>
      <c r="J60" s="30">
        <f>Inbound[[#This Row],[Expected Receipt Date]]</f>
        <v>44070</v>
      </c>
      <c r="K60" s="20">
        <f>IF(Inbound[[#This Row],[Unloading Date]]="","",Inbound[[#This Row],[Unloading Date]]+8-WEEKDAY(Inbound[[#This Row],[Unloading Date]]))</f>
        <v>44073</v>
      </c>
      <c r="L60" s="45" t="s">
        <v>86</v>
      </c>
    </row>
    <row r="61" spans="1:12" x14ac:dyDescent="0.25">
      <c r="A61" s="37">
        <v>44070</v>
      </c>
      <c r="B61" s="38" t="s">
        <v>87</v>
      </c>
      <c r="C61" s="38">
        <v>19109</v>
      </c>
      <c r="D61" s="38" t="s">
        <v>13</v>
      </c>
      <c r="E61" s="39">
        <v>17857</v>
      </c>
      <c r="F61" s="38" t="s">
        <v>10</v>
      </c>
      <c r="G61" s="40">
        <v>44060</v>
      </c>
      <c r="H61" s="38" t="s">
        <v>14</v>
      </c>
      <c r="I61" s="40">
        <v>44071</v>
      </c>
      <c r="J61" s="41">
        <f>Inbound[[#This Row],[Expected Receipt Date]]</f>
        <v>44071</v>
      </c>
      <c r="K61" s="40">
        <f>IF(Inbound[[#This Row],[Unloading Date]]="","",Inbound[[#This Row],[Unloading Date]]+8-WEEKDAY(Inbound[[#This Row],[Unloading Date]]))</f>
        <v>44073</v>
      </c>
      <c r="L61" s="42" t="s">
        <v>86</v>
      </c>
    </row>
    <row r="62" spans="1:12" x14ac:dyDescent="0.25">
      <c r="A62" s="43">
        <v>44071</v>
      </c>
      <c r="B62" s="18" t="s">
        <v>89</v>
      </c>
      <c r="C62" s="18">
        <v>19107</v>
      </c>
      <c r="D62" s="18" t="s">
        <v>12</v>
      </c>
      <c r="E62" s="19">
        <v>17857</v>
      </c>
      <c r="F62" s="18" t="s">
        <v>10</v>
      </c>
      <c r="G62" s="20">
        <v>44061</v>
      </c>
      <c r="H62" s="18" t="s">
        <v>11</v>
      </c>
      <c r="I62" s="20">
        <v>44075</v>
      </c>
      <c r="J62" s="41">
        <f>Inbound[[#This Row],[Expected Receipt Date]]</f>
        <v>44075</v>
      </c>
      <c r="K62" s="20">
        <f>IF(Inbound[[#This Row],[Unloading Date]]="","",Inbound[[#This Row],[Unloading Date]]+8-WEEKDAY(Inbound[[#This Row],[Unloading Date]]))</f>
        <v>44073</v>
      </c>
      <c r="L62" s="42" t="s">
        <v>86</v>
      </c>
    </row>
    <row r="63" spans="1:12" x14ac:dyDescent="0.25">
      <c r="A63" s="37">
        <v>44071</v>
      </c>
      <c r="B63" s="38" t="s">
        <v>90</v>
      </c>
      <c r="C63" s="38">
        <v>19108</v>
      </c>
      <c r="D63" s="38" t="s">
        <v>19</v>
      </c>
      <c r="E63" s="39">
        <v>17857</v>
      </c>
      <c r="F63" s="38" t="s">
        <v>10</v>
      </c>
      <c r="G63" s="40">
        <v>44060</v>
      </c>
      <c r="H63" s="38" t="s">
        <v>14</v>
      </c>
      <c r="I63" s="40">
        <v>44075</v>
      </c>
      <c r="J63" s="41">
        <f>Inbound[[#This Row],[Expected Receipt Date]]</f>
        <v>44075</v>
      </c>
      <c r="K63" s="40">
        <f>IF(Inbound[[#This Row],[Unloading Date]]="","",Inbound[[#This Row],[Unloading Date]]+8-WEEKDAY(Inbound[[#This Row],[Unloading Date]]))</f>
        <v>44073</v>
      </c>
      <c r="L63" s="42" t="s">
        <v>86</v>
      </c>
    </row>
    <row r="64" spans="1:12" x14ac:dyDescent="0.25">
      <c r="A64" s="43">
        <v>44074</v>
      </c>
      <c r="B64" s="18" t="s">
        <v>70</v>
      </c>
      <c r="C64" s="18">
        <v>23855</v>
      </c>
      <c r="D64" s="18" t="s">
        <v>33</v>
      </c>
      <c r="E64" s="19">
        <v>17857</v>
      </c>
      <c r="F64" s="18" t="s">
        <v>10</v>
      </c>
      <c r="G64" s="20">
        <v>44033</v>
      </c>
      <c r="H64" s="18" t="s">
        <v>11</v>
      </c>
      <c r="I64" s="20">
        <v>44075</v>
      </c>
      <c r="J64" s="30">
        <f>Inbound[[#This Row],[Expected Receipt Date]]</f>
        <v>44075</v>
      </c>
      <c r="K64" s="20">
        <f>IF(Inbound[[#This Row],[Unloading Date]]="","",Inbound[[#This Row],[Unloading Date]]+8-WEEKDAY(Inbound[[#This Row],[Unloading Date]]))</f>
        <v>44080</v>
      </c>
      <c r="L64" s="45" t="s">
        <v>86</v>
      </c>
    </row>
    <row r="65" spans="1:12" x14ac:dyDescent="0.25">
      <c r="A65" s="37">
        <v>44077</v>
      </c>
      <c r="B65" s="38" t="s">
        <v>95</v>
      </c>
      <c r="C65" s="38">
        <v>19128</v>
      </c>
      <c r="D65" s="38" t="s">
        <v>17</v>
      </c>
      <c r="E65" s="39">
        <v>17857</v>
      </c>
      <c r="F65" s="38" t="s">
        <v>10</v>
      </c>
      <c r="G65" s="40">
        <v>44069</v>
      </c>
      <c r="H65" s="38" t="s">
        <v>18</v>
      </c>
      <c r="I65" s="40">
        <v>44082</v>
      </c>
      <c r="J65" s="41">
        <f>Inbound[[#This Row],[Expected Receipt Date]]</f>
        <v>44082</v>
      </c>
      <c r="K65" s="40">
        <f>IF(Inbound[[#This Row],[Unloading Date]]="","",Inbound[[#This Row],[Unloading Date]]+8-WEEKDAY(Inbound[[#This Row],[Unloading Date]]))</f>
        <v>44080</v>
      </c>
      <c r="L65" s="42" t="s">
        <v>86</v>
      </c>
    </row>
    <row r="66" spans="1:12" x14ac:dyDescent="0.25">
      <c r="A66" s="43">
        <v>44078</v>
      </c>
      <c r="B66" s="18" t="s">
        <v>93</v>
      </c>
      <c r="C66" s="18">
        <v>19107</v>
      </c>
      <c r="D66" s="18" t="s">
        <v>12</v>
      </c>
      <c r="E66" s="19">
        <v>17857</v>
      </c>
      <c r="F66" s="18" t="s">
        <v>10</v>
      </c>
      <c r="G66" s="20">
        <v>44068</v>
      </c>
      <c r="H66" s="18" t="s">
        <v>11</v>
      </c>
      <c r="I66" s="20">
        <v>44082</v>
      </c>
      <c r="J66" s="41">
        <f>Inbound[[#This Row],[Expected Receipt Date]]</f>
        <v>44082</v>
      </c>
      <c r="K66" s="20">
        <f>IF(Inbound[[#This Row],[Unloading Date]]="","",Inbound[[#This Row],[Unloading Date]]+8-WEEKDAY(Inbound[[#This Row],[Unloading Date]]))</f>
        <v>44080</v>
      </c>
      <c r="L66" s="42" t="s">
        <v>86</v>
      </c>
    </row>
    <row r="67" spans="1:12" x14ac:dyDescent="0.25">
      <c r="A67" s="37">
        <v>44078</v>
      </c>
      <c r="B67" s="38" t="s">
        <v>92</v>
      </c>
      <c r="C67" s="38">
        <v>19109</v>
      </c>
      <c r="D67" s="38" t="s">
        <v>13</v>
      </c>
      <c r="E67" s="39">
        <v>17857</v>
      </c>
      <c r="F67" s="38" t="s">
        <v>10</v>
      </c>
      <c r="G67" s="40">
        <v>44067</v>
      </c>
      <c r="H67" s="38" t="s">
        <v>14</v>
      </c>
      <c r="I67" s="40">
        <v>44084</v>
      </c>
      <c r="J67" s="41">
        <f>Inbound[[#This Row],[Expected Receipt Date]]</f>
        <v>44084</v>
      </c>
      <c r="K67" s="40">
        <f>IF(Inbound[[#This Row],[Unloading Date]]="","",Inbound[[#This Row],[Unloading Date]]+8-WEEKDAY(Inbound[[#This Row],[Unloading Date]]))</f>
        <v>44080</v>
      </c>
      <c r="L67" s="42" t="s">
        <v>86</v>
      </c>
    </row>
    <row r="68" spans="1:12" x14ac:dyDescent="0.25">
      <c r="A68" s="37">
        <v>44081</v>
      </c>
      <c r="B68" s="38" t="s">
        <v>94</v>
      </c>
      <c r="C68" s="38">
        <v>19173</v>
      </c>
      <c r="D68" s="38" t="s">
        <v>16</v>
      </c>
      <c r="E68" s="39">
        <v>17857</v>
      </c>
      <c r="F68" s="38" t="s">
        <v>10</v>
      </c>
      <c r="G68" s="40">
        <v>44068</v>
      </c>
      <c r="H68" s="38" t="s">
        <v>11</v>
      </c>
      <c r="I68" s="40">
        <v>44084</v>
      </c>
      <c r="J68" s="41">
        <f>Inbound[[#This Row],[Expected Receipt Date]]</f>
        <v>44084</v>
      </c>
      <c r="K68" s="40">
        <f>IF(Inbound[[#This Row],[Unloading Date]]="","",Inbound[[#This Row],[Unloading Date]]+8-WEEKDAY(Inbound[[#This Row],[Unloading Date]]))</f>
        <v>44087</v>
      </c>
      <c r="L68" s="42" t="s">
        <v>86</v>
      </c>
    </row>
    <row r="69" spans="1:12" x14ac:dyDescent="0.25">
      <c r="A69" s="34">
        <v>44084</v>
      </c>
      <c r="B69" s="21" t="s">
        <v>99</v>
      </c>
      <c r="C69" s="21">
        <v>19107</v>
      </c>
      <c r="D69" s="21" t="s">
        <v>12</v>
      </c>
      <c r="E69" s="22">
        <v>17857</v>
      </c>
      <c r="F69" s="21" t="s">
        <v>10</v>
      </c>
      <c r="G69" s="23">
        <v>44075</v>
      </c>
      <c r="H69" s="21" t="s">
        <v>11</v>
      </c>
      <c r="I69" s="23">
        <v>44084</v>
      </c>
      <c r="J69" s="36">
        <f>Inbound[[#This Row],[Expected Receipt Date]]</f>
        <v>44084</v>
      </c>
      <c r="K69" s="31">
        <f>IF(Inbound[[#This Row],[Unloading Date]]="","",Inbound[[#This Row],[Unloading Date]]+8-WEEKDAY(Inbound[[#This Row],[Unloading Date]]))</f>
        <v>44087</v>
      </c>
      <c r="L69" s="42" t="s">
        <v>86</v>
      </c>
    </row>
    <row r="70" spans="1:12" x14ac:dyDescent="0.25">
      <c r="A70" s="34">
        <v>44085</v>
      </c>
      <c r="B70" s="21" t="s">
        <v>101</v>
      </c>
      <c r="C70" s="21">
        <v>19109</v>
      </c>
      <c r="D70" s="21" t="s">
        <v>13</v>
      </c>
      <c r="E70" s="22">
        <v>17857</v>
      </c>
      <c r="F70" s="21" t="s">
        <v>10</v>
      </c>
      <c r="G70" s="23">
        <v>44074</v>
      </c>
      <c r="H70" s="21" t="s">
        <v>14</v>
      </c>
      <c r="I70" s="23">
        <v>44089</v>
      </c>
      <c r="J70" s="36">
        <f>Inbound[[#This Row],[Expected Receipt Date]]</f>
        <v>44089</v>
      </c>
      <c r="K70" s="31">
        <f>IF(Inbound[[#This Row],[Unloading Date]]="","",Inbound[[#This Row],[Unloading Date]]+8-WEEKDAY(Inbound[[#This Row],[Unloading Date]]))</f>
        <v>44087</v>
      </c>
      <c r="L70" s="44" t="s">
        <v>86</v>
      </c>
    </row>
    <row r="71" spans="1:12" x14ac:dyDescent="0.25">
      <c r="A71" s="37">
        <v>44088</v>
      </c>
      <c r="B71" s="38" t="s">
        <v>100</v>
      </c>
      <c r="C71" s="38">
        <v>19108</v>
      </c>
      <c r="D71" s="38" t="s">
        <v>19</v>
      </c>
      <c r="E71" s="39">
        <v>17857</v>
      </c>
      <c r="F71" s="38" t="s">
        <v>10</v>
      </c>
      <c r="G71" s="40">
        <v>44074</v>
      </c>
      <c r="H71" s="38" t="s">
        <v>14</v>
      </c>
      <c r="I71" s="40">
        <v>44097</v>
      </c>
      <c r="J71" s="41">
        <f>Inbound[[#This Row],[Expected Receipt Date]]</f>
        <v>44097</v>
      </c>
      <c r="K71" s="40">
        <f>IF(Inbound[[#This Row],[Unloading Date]]="","",Inbound[[#This Row],[Unloading Date]]+8-WEEKDAY(Inbound[[#This Row],[Unloading Date]]))</f>
        <v>44094</v>
      </c>
      <c r="L71" s="44" t="s">
        <v>86</v>
      </c>
    </row>
    <row r="72" spans="1:12" x14ac:dyDescent="0.25">
      <c r="A72" s="37">
        <v>44090</v>
      </c>
      <c r="B72" s="38" t="s">
        <v>98</v>
      </c>
      <c r="C72" s="38">
        <v>19110</v>
      </c>
      <c r="D72" s="38" t="s">
        <v>21</v>
      </c>
      <c r="E72" s="39">
        <v>17857</v>
      </c>
      <c r="F72" s="38" t="s">
        <v>10</v>
      </c>
      <c r="G72" s="40">
        <v>44075</v>
      </c>
      <c r="H72" s="38" t="s">
        <v>11</v>
      </c>
      <c r="I72" s="40">
        <v>44091</v>
      </c>
      <c r="J72" s="41">
        <f>Inbound[[#This Row],[Expected Receipt Date]]</f>
        <v>44091</v>
      </c>
      <c r="K72" s="40">
        <f>IF(Inbound[[#This Row],[Unloading Date]]="","",Inbound[[#This Row],[Unloading Date]]+8-WEEKDAY(Inbound[[#This Row],[Unloading Date]]))</f>
        <v>44094</v>
      </c>
      <c r="L72" s="45" t="s">
        <v>86</v>
      </c>
    </row>
    <row r="73" spans="1:12" x14ac:dyDescent="0.25">
      <c r="A73" s="37">
        <v>44090</v>
      </c>
      <c r="B73" s="38" t="s">
        <v>102</v>
      </c>
      <c r="C73" s="38">
        <v>19128</v>
      </c>
      <c r="D73" s="38" t="s">
        <v>17</v>
      </c>
      <c r="E73" s="39">
        <v>17857</v>
      </c>
      <c r="F73" s="38" t="s">
        <v>10</v>
      </c>
      <c r="G73" s="40">
        <v>44076</v>
      </c>
      <c r="H73" s="38" t="s">
        <v>18</v>
      </c>
      <c r="I73" s="40">
        <v>44097</v>
      </c>
      <c r="J73" s="41">
        <f>Inbound[[#This Row],[Expected Receipt Date]]</f>
        <v>44097</v>
      </c>
      <c r="K73" s="40">
        <f>IF(Inbound[[#This Row],[Unloading Date]]="","",Inbound[[#This Row],[Unloading Date]]+8-WEEKDAY(Inbound[[#This Row],[Unloading Date]]))</f>
        <v>44094</v>
      </c>
      <c r="L73" s="42" t="s">
        <v>86</v>
      </c>
    </row>
    <row r="74" spans="1:12" x14ac:dyDescent="0.25">
      <c r="A74" s="43">
        <v>44092</v>
      </c>
      <c r="B74" s="18" t="s">
        <v>103</v>
      </c>
      <c r="C74" s="18">
        <v>23852</v>
      </c>
      <c r="D74" s="18" t="s">
        <v>46</v>
      </c>
      <c r="E74" s="19">
        <v>17857</v>
      </c>
      <c r="F74" s="18" t="s">
        <v>10</v>
      </c>
      <c r="G74" s="20">
        <v>44076</v>
      </c>
      <c r="H74" s="18" t="s">
        <v>18</v>
      </c>
      <c r="I74" s="20">
        <v>44097</v>
      </c>
      <c r="J74" s="30">
        <f>Inbound[[#This Row],[Expected Receipt Date]]</f>
        <v>44097</v>
      </c>
      <c r="K74" s="20">
        <f>IF(Inbound[[#This Row],[Unloading Date]]="","",Inbound[[#This Row],[Unloading Date]]+8-WEEKDAY(Inbound[[#This Row],[Unloading Date]]))</f>
        <v>44094</v>
      </c>
      <c r="L74" s="45" t="s">
        <v>86</v>
      </c>
    </row>
    <row r="75" spans="1:12" x14ac:dyDescent="0.25">
      <c r="A75" s="43">
        <v>44092</v>
      </c>
      <c r="B75" s="18" t="s">
        <v>97</v>
      </c>
      <c r="C75" s="18">
        <v>23855</v>
      </c>
      <c r="D75" s="18" t="s">
        <v>33</v>
      </c>
      <c r="E75" s="19">
        <v>17857</v>
      </c>
      <c r="F75" s="18" t="s">
        <v>10</v>
      </c>
      <c r="G75" s="20">
        <v>44071</v>
      </c>
      <c r="H75" s="18" t="s">
        <v>15</v>
      </c>
      <c r="I75" s="20">
        <v>44106</v>
      </c>
      <c r="J75" s="30">
        <f>Inbound[[#This Row],[Expected Receipt Date]]</f>
        <v>44106</v>
      </c>
      <c r="K75" s="20">
        <f>IF(Inbound[[#This Row],[Unloading Date]]="","",Inbound[[#This Row],[Unloading Date]]+8-WEEKDAY(Inbound[[#This Row],[Unloading Date]]))</f>
        <v>44094</v>
      </c>
      <c r="L75" s="45" t="s">
        <v>86</v>
      </c>
    </row>
    <row r="76" spans="1:12" x14ac:dyDescent="0.25">
      <c r="A76" s="43">
        <v>44095</v>
      </c>
      <c r="B76" s="18" t="s">
        <v>105</v>
      </c>
      <c r="C76" s="18">
        <v>19107</v>
      </c>
      <c r="D76" s="18" t="s">
        <v>12</v>
      </c>
      <c r="E76" s="19">
        <v>17857</v>
      </c>
      <c r="F76" s="18" t="s">
        <v>10</v>
      </c>
      <c r="G76" s="20">
        <v>44082</v>
      </c>
      <c r="H76" s="18" t="s">
        <v>11</v>
      </c>
      <c r="I76" s="20">
        <v>44097</v>
      </c>
      <c r="J76" s="41">
        <f>Inbound[[#This Row],[Expected Receipt Date]]</f>
        <v>44097</v>
      </c>
      <c r="K76" s="20">
        <f>IF(Inbound[[#This Row],[Unloading Date]]="","",Inbound[[#This Row],[Unloading Date]]+8-WEEKDAY(Inbound[[#This Row],[Unloading Date]]))</f>
        <v>44101</v>
      </c>
      <c r="L76" s="45" t="s">
        <v>86</v>
      </c>
    </row>
    <row r="77" spans="1:12" x14ac:dyDescent="0.25">
      <c r="A77" s="37">
        <v>44095</v>
      </c>
      <c r="B77" s="38" t="s">
        <v>106</v>
      </c>
      <c r="C77" s="38">
        <v>19109</v>
      </c>
      <c r="D77" s="38" t="s">
        <v>13</v>
      </c>
      <c r="E77" s="39">
        <v>17857</v>
      </c>
      <c r="F77" s="38" t="s">
        <v>10</v>
      </c>
      <c r="G77" s="40">
        <v>44081</v>
      </c>
      <c r="H77" s="38" t="s">
        <v>14</v>
      </c>
      <c r="I77" s="40">
        <v>44097</v>
      </c>
      <c r="J77" s="41">
        <f>Inbound[[#This Row],[Expected Receipt Date]]</f>
        <v>44097</v>
      </c>
      <c r="K77" s="40">
        <f>IF(Inbound[[#This Row],[Unloading Date]]="","",Inbound[[#This Row],[Unloading Date]]+8-WEEKDAY(Inbound[[#This Row],[Unloading Date]]))</f>
        <v>44101</v>
      </c>
      <c r="L77" s="45" t="s">
        <v>86</v>
      </c>
    </row>
    <row r="78" spans="1:12" x14ac:dyDescent="0.25">
      <c r="A78" s="37">
        <v>44095</v>
      </c>
      <c r="B78" s="38" t="s">
        <v>107</v>
      </c>
      <c r="C78" s="38">
        <v>19173</v>
      </c>
      <c r="D78" s="38" t="s">
        <v>16</v>
      </c>
      <c r="E78" s="39">
        <v>17857</v>
      </c>
      <c r="F78" s="38" t="s">
        <v>10</v>
      </c>
      <c r="G78" s="40">
        <v>44082</v>
      </c>
      <c r="H78" s="38" t="s">
        <v>11</v>
      </c>
      <c r="I78" s="40">
        <v>44097</v>
      </c>
      <c r="J78" s="41">
        <f>Inbound[[#This Row],[Expected Receipt Date]]</f>
        <v>44097</v>
      </c>
      <c r="K78" s="40">
        <f>IF(Inbound[[#This Row],[Unloading Date]]="","",Inbound[[#This Row],[Unloading Date]]+8-WEEKDAY(Inbound[[#This Row],[Unloading Date]]))</f>
        <v>44101</v>
      </c>
      <c r="L78" s="45" t="s">
        <v>86</v>
      </c>
    </row>
    <row r="79" spans="1:12" x14ac:dyDescent="0.25">
      <c r="A79" s="37">
        <v>44096</v>
      </c>
      <c r="B79" s="38" t="s">
        <v>108</v>
      </c>
      <c r="C79" s="38">
        <v>19108</v>
      </c>
      <c r="D79" s="38" t="s">
        <v>19</v>
      </c>
      <c r="E79" s="39">
        <v>17857</v>
      </c>
      <c r="F79" s="38" t="s">
        <v>10</v>
      </c>
      <c r="G79" s="40">
        <v>44083</v>
      </c>
      <c r="H79" s="38" t="s">
        <v>18</v>
      </c>
      <c r="I79" s="40">
        <v>44097</v>
      </c>
      <c r="J79" s="41">
        <f>Inbound[[#This Row],[Expected Receipt Date]]</f>
        <v>44097</v>
      </c>
      <c r="K79" s="40">
        <f>IF(Inbound[[#This Row],[Unloading Date]]="","",Inbound[[#This Row],[Unloading Date]]+8-WEEKDAY(Inbound[[#This Row],[Unloading Date]]))</f>
        <v>44101</v>
      </c>
      <c r="L79" s="45" t="s">
        <v>86</v>
      </c>
    </row>
    <row r="80" spans="1:12" x14ac:dyDescent="0.25">
      <c r="A80" s="37">
        <v>44098</v>
      </c>
      <c r="B80" s="38" t="s">
        <v>113</v>
      </c>
      <c r="C80" s="38">
        <v>19110</v>
      </c>
      <c r="D80" s="38" t="s">
        <v>21</v>
      </c>
      <c r="E80" s="39">
        <v>17857</v>
      </c>
      <c r="F80" s="38" t="s">
        <v>10</v>
      </c>
      <c r="G80" s="40">
        <v>44089</v>
      </c>
      <c r="H80" s="38" t="s">
        <v>11</v>
      </c>
      <c r="I80" s="40">
        <v>44097</v>
      </c>
      <c r="J80" s="41">
        <f>Inbound[[#This Row],[Expected Receipt Date]]</f>
        <v>44097</v>
      </c>
      <c r="K80" s="40">
        <f>IF(Inbound[[#This Row],[Unloading Date]]="","",Inbound[[#This Row],[Unloading Date]]+8-WEEKDAY(Inbound[[#This Row],[Unloading Date]]))</f>
        <v>44101</v>
      </c>
      <c r="L80" s="45" t="s">
        <v>86</v>
      </c>
    </row>
    <row r="81" spans="1:12" x14ac:dyDescent="0.25">
      <c r="A81" s="37">
        <v>44098</v>
      </c>
      <c r="B81" s="38" t="s">
        <v>111</v>
      </c>
      <c r="C81" s="38">
        <v>19109</v>
      </c>
      <c r="D81" s="38" t="s">
        <v>13</v>
      </c>
      <c r="E81" s="39">
        <v>17857</v>
      </c>
      <c r="F81" s="38" t="s">
        <v>10</v>
      </c>
      <c r="G81" s="40">
        <v>44088</v>
      </c>
      <c r="H81" s="38" t="s">
        <v>14</v>
      </c>
      <c r="I81" s="40">
        <v>44099</v>
      </c>
      <c r="J81" s="41">
        <f>Inbound[[#This Row],[Expected Receipt Date]]</f>
        <v>44099</v>
      </c>
      <c r="K81" s="40">
        <f>IF(Inbound[[#This Row],[Unloading Date]]="","",Inbound[[#This Row],[Unloading Date]]+8-WEEKDAY(Inbound[[#This Row],[Unloading Date]]))</f>
        <v>44101</v>
      </c>
      <c r="L81" s="45" t="s">
        <v>86</v>
      </c>
    </row>
    <row r="82" spans="1:12" x14ac:dyDescent="0.25">
      <c r="A82" s="43">
        <v>44098</v>
      </c>
      <c r="B82" s="38" t="s">
        <v>79</v>
      </c>
      <c r="C82" s="38">
        <v>18380</v>
      </c>
      <c r="D82" s="38" t="s">
        <v>9</v>
      </c>
      <c r="E82" s="39">
        <v>17857</v>
      </c>
      <c r="F82" s="38" t="s">
        <v>10</v>
      </c>
      <c r="G82" s="40">
        <v>44048</v>
      </c>
      <c r="H82" s="38" t="s">
        <v>18</v>
      </c>
      <c r="I82" s="40">
        <v>44105</v>
      </c>
      <c r="J82" s="41">
        <f>Inbound[[#This Row],[Expected Receipt Date]]</f>
        <v>44105</v>
      </c>
      <c r="K82" s="20">
        <f>IF(Inbound[[#This Row],[Unloading Date]]="","",Inbound[[#This Row],[Unloading Date]]+8-WEEKDAY(Inbound[[#This Row],[Unloading Date]]))</f>
        <v>44101</v>
      </c>
      <c r="L82" s="42" t="s">
        <v>86</v>
      </c>
    </row>
    <row r="83" spans="1:12" x14ac:dyDescent="0.25">
      <c r="A83" s="43">
        <v>44098</v>
      </c>
      <c r="B83" s="38" t="s">
        <v>80</v>
      </c>
      <c r="C83" s="38">
        <v>18380</v>
      </c>
      <c r="D83" s="38" t="s">
        <v>9</v>
      </c>
      <c r="E83" s="39">
        <v>17857</v>
      </c>
      <c r="F83" s="38" t="s">
        <v>10</v>
      </c>
      <c r="G83" s="40">
        <v>44048</v>
      </c>
      <c r="H83" s="38" t="s">
        <v>18</v>
      </c>
      <c r="I83" s="40">
        <v>44105</v>
      </c>
      <c r="J83" s="41">
        <f>Inbound[[#This Row],[Expected Receipt Date]]</f>
        <v>44105</v>
      </c>
      <c r="K83" s="20">
        <f>IF(Inbound[[#This Row],[Unloading Date]]="","",Inbound[[#This Row],[Unloading Date]]+8-WEEKDAY(Inbound[[#This Row],[Unloading Date]]))</f>
        <v>44101</v>
      </c>
      <c r="L83" s="42" t="s">
        <v>86</v>
      </c>
    </row>
    <row r="84" spans="1:12" x14ac:dyDescent="0.25">
      <c r="A84" s="37">
        <v>44099</v>
      </c>
      <c r="B84" s="38" t="s">
        <v>114</v>
      </c>
      <c r="C84" s="38">
        <v>19108</v>
      </c>
      <c r="D84" s="38" t="s">
        <v>19</v>
      </c>
      <c r="E84" s="39">
        <v>17857</v>
      </c>
      <c r="F84" s="38" t="s">
        <v>10</v>
      </c>
      <c r="G84" s="40">
        <v>44088</v>
      </c>
      <c r="H84" s="38" t="s">
        <v>14</v>
      </c>
      <c r="I84" s="40">
        <v>44105</v>
      </c>
      <c r="J84" s="41">
        <f>Inbound[[#This Row],[Expected Receipt Date]]</f>
        <v>44105</v>
      </c>
      <c r="K84" s="40">
        <f>IF(Inbound[[#This Row],[Unloading Date]]="","",Inbound[[#This Row],[Unloading Date]]+8-WEEKDAY(Inbound[[#This Row],[Unloading Date]]))</f>
        <v>44101</v>
      </c>
      <c r="L84" s="42" t="s">
        <v>86</v>
      </c>
    </row>
    <row r="85" spans="1:12" x14ac:dyDescent="0.25">
      <c r="A85" s="43">
        <v>44103</v>
      </c>
      <c r="B85" s="18" t="s">
        <v>112</v>
      </c>
      <c r="C85" s="18">
        <v>19107</v>
      </c>
      <c r="D85" s="18" t="s">
        <v>12</v>
      </c>
      <c r="E85" s="19">
        <v>17857</v>
      </c>
      <c r="F85" s="18" t="s">
        <v>10</v>
      </c>
      <c r="G85" s="20">
        <v>44089</v>
      </c>
      <c r="H85" s="18" t="s">
        <v>11</v>
      </c>
      <c r="I85" s="20">
        <v>44105</v>
      </c>
      <c r="J85" s="30">
        <f>Inbound[[#This Row],[Expected Receipt Date]]</f>
        <v>44105</v>
      </c>
      <c r="K85" s="20">
        <f>IF(Inbound[[#This Row],[Unloading Date]]="","",Inbound[[#This Row],[Unloading Date]]+8-WEEKDAY(Inbound[[#This Row],[Unloading Date]]))</f>
        <v>44108</v>
      </c>
      <c r="L85" s="42" t="s">
        <v>86</v>
      </c>
    </row>
    <row r="86" spans="1:12" x14ac:dyDescent="0.25">
      <c r="A86" s="37">
        <v>44103</v>
      </c>
      <c r="B86" s="38" t="s">
        <v>115</v>
      </c>
      <c r="C86" s="38">
        <v>19128</v>
      </c>
      <c r="D86" s="38" t="s">
        <v>17</v>
      </c>
      <c r="E86" s="39">
        <v>17857</v>
      </c>
      <c r="F86" s="38" t="s">
        <v>10</v>
      </c>
      <c r="G86" s="40">
        <v>44090</v>
      </c>
      <c r="H86" s="38" t="s">
        <v>18</v>
      </c>
      <c r="I86" s="40">
        <v>44105</v>
      </c>
      <c r="J86" s="41">
        <f>Inbound[[#This Row],[Expected Receipt Date]]</f>
        <v>44105</v>
      </c>
      <c r="K86" s="40">
        <f>IF(Inbound[[#This Row],[Unloading Date]]="","",Inbound[[#This Row],[Unloading Date]]+8-WEEKDAY(Inbound[[#This Row],[Unloading Date]]))</f>
        <v>44108</v>
      </c>
      <c r="L86" s="42" t="s">
        <v>86</v>
      </c>
    </row>
    <row r="87" spans="1:12" x14ac:dyDescent="0.25">
      <c r="A87" s="43">
        <v>44105</v>
      </c>
      <c r="B87" s="18" t="s">
        <v>117</v>
      </c>
      <c r="C87" s="18">
        <v>19107</v>
      </c>
      <c r="D87" s="18" t="s">
        <v>12</v>
      </c>
      <c r="E87" s="19">
        <v>17857</v>
      </c>
      <c r="F87" s="18" t="s">
        <v>10</v>
      </c>
      <c r="G87" s="20">
        <v>44096</v>
      </c>
      <c r="H87" s="18" t="s">
        <v>11</v>
      </c>
      <c r="I87" s="20">
        <v>44105</v>
      </c>
      <c r="J87" s="30">
        <f>Inbound[[#This Row],[Expected Receipt Date]]</f>
        <v>44105</v>
      </c>
      <c r="K87" s="20">
        <f>IF(Inbound[[#This Row],[Unloading Date]]="","",Inbound[[#This Row],[Unloading Date]]+8-WEEKDAY(Inbound[[#This Row],[Unloading Date]]))</f>
        <v>44108</v>
      </c>
      <c r="L87" s="42" t="s">
        <v>86</v>
      </c>
    </row>
    <row r="88" spans="1:12" x14ac:dyDescent="0.25">
      <c r="A88" s="43">
        <v>44106</v>
      </c>
      <c r="B88" s="18" t="s">
        <v>118</v>
      </c>
      <c r="C88" s="18">
        <v>19173</v>
      </c>
      <c r="D88" s="18" t="s">
        <v>16</v>
      </c>
      <c r="E88" s="19">
        <v>17857</v>
      </c>
      <c r="F88" s="18" t="s">
        <v>10</v>
      </c>
      <c r="G88" s="20">
        <v>44095</v>
      </c>
      <c r="H88" s="18" t="s">
        <v>14</v>
      </c>
      <c r="I88" s="20">
        <v>44110</v>
      </c>
      <c r="J88" s="30">
        <f>Inbound[[#This Row],[Expected Receipt Date]]</f>
        <v>44110</v>
      </c>
      <c r="K88" s="20">
        <f>IF(Inbound[[#This Row],[Unloading Date]]="","",Inbound[[#This Row],[Unloading Date]]+8-WEEKDAY(Inbound[[#This Row],[Unloading Date]]))</f>
        <v>44108</v>
      </c>
      <c r="L88" s="45" t="s">
        <v>86</v>
      </c>
    </row>
    <row r="89" spans="1:12" x14ac:dyDescent="0.25">
      <c r="A89" s="37">
        <v>44110</v>
      </c>
      <c r="B89" s="38" t="s">
        <v>116</v>
      </c>
      <c r="C89" s="38">
        <v>19109</v>
      </c>
      <c r="D89" s="38" t="s">
        <v>13</v>
      </c>
      <c r="E89" s="39">
        <v>17857</v>
      </c>
      <c r="F89" s="38" t="s">
        <v>10</v>
      </c>
      <c r="G89" s="40">
        <v>44095</v>
      </c>
      <c r="H89" s="38" t="s">
        <v>14</v>
      </c>
      <c r="I89" s="40">
        <v>44112</v>
      </c>
      <c r="J89" s="41">
        <f>Inbound[[#This Row],[Expected Receipt Date]]</f>
        <v>44112</v>
      </c>
      <c r="K89" s="40">
        <f>IF(Inbound[[#This Row],[Unloading Date]]="","",Inbound[[#This Row],[Unloading Date]]+8-WEEKDAY(Inbound[[#This Row],[Unloading Date]]))</f>
        <v>44115</v>
      </c>
      <c r="L89" s="42" t="s">
        <v>86</v>
      </c>
    </row>
    <row r="90" spans="1:12" x14ac:dyDescent="0.25">
      <c r="A90" s="43">
        <v>44110</v>
      </c>
      <c r="B90" s="18" t="s">
        <v>121</v>
      </c>
      <c r="C90" s="18">
        <v>23852</v>
      </c>
      <c r="D90" s="18" t="s">
        <v>46</v>
      </c>
      <c r="E90" s="19">
        <v>17857</v>
      </c>
      <c r="F90" s="18" t="s">
        <v>10</v>
      </c>
      <c r="G90" s="20">
        <v>44098</v>
      </c>
      <c r="H90" s="18" t="s">
        <v>109</v>
      </c>
      <c r="I90" s="20">
        <v>44112</v>
      </c>
      <c r="J90" s="30">
        <f>Inbound[[#This Row],[Expected Receipt Date]]</f>
        <v>44112</v>
      </c>
      <c r="K90" s="20">
        <f>IF(Inbound[[#This Row],[Unloading Date]]="","",Inbound[[#This Row],[Unloading Date]]+8-WEEKDAY(Inbound[[#This Row],[Unloading Date]]))</f>
        <v>44115</v>
      </c>
      <c r="L90" s="45" t="s">
        <v>86</v>
      </c>
    </row>
    <row r="91" spans="1:12" x14ac:dyDescent="0.25">
      <c r="A91" s="43">
        <v>44110</v>
      </c>
      <c r="B91" s="18" t="s">
        <v>104</v>
      </c>
      <c r="C91" s="18">
        <v>23855</v>
      </c>
      <c r="D91" s="18" t="s">
        <v>33</v>
      </c>
      <c r="E91" s="19">
        <v>17857</v>
      </c>
      <c r="F91" s="18" t="s">
        <v>10</v>
      </c>
      <c r="G91" s="20">
        <v>44075</v>
      </c>
      <c r="H91" s="18" t="s">
        <v>11</v>
      </c>
      <c r="I91" s="20">
        <v>44112</v>
      </c>
      <c r="J91" s="30">
        <f>Inbound[[#This Row],[Expected Receipt Date]]</f>
        <v>44112</v>
      </c>
      <c r="K91" s="20">
        <f>IF(Inbound[[#This Row],[Unloading Date]]="","",Inbound[[#This Row],[Unloading Date]]+8-WEEKDAY(Inbound[[#This Row],[Unloading Date]]))</f>
        <v>44115</v>
      </c>
      <c r="L91" s="45" t="s">
        <v>86</v>
      </c>
    </row>
    <row r="92" spans="1:12" x14ac:dyDescent="0.25">
      <c r="A92" s="37">
        <v>44111</v>
      </c>
      <c r="B92" s="38" t="s">
        <v>125</v>
      </c>
      <c r="C92" s="38">
        <v>19108</v>
      </c>
      <c r="D92" s="38" t="s">
        <v>19</v>
      </c>
      <c r="E92" s="39">
        <v>17857</v>
      </c>
      <c r="F92" s="38" t="s">
        <v>10</v>
      </c>
      <c r="G92" s="40">
        <v>44102</v>
      </c>
      <c r="H92" s="38" t="s">
        <v>14</v>
      </c>
      <c r="I92" s="40">
        <v>44113</v>
      </c>
      <c r="J92" s="41">
        <f>Inbound[[#This Row],[Expected Receipt Date]]</f>
        <v>44113</v>
      </c>
      <c r="K92" s="40">
        <f>IF(Inbound[[#This Row],[Unloading Date]]="","",Inbound[[#This Row],[Unloading Date]]+8-WEEKDAY(Inbound[[#This Row],[Unloading Date]]))</f>
        <v>44115</v>
      </c>
      <c r="L92" s="42" t="s">
        <v>86</v>
      </c>
    </row>
    <row r="93" spans="1:12" x14ac:dyDescent="0.25">
      <c r="A93" s="43">
        <v>44112</v>
      </c>
      <c r="B93" s="18" t="s">
        <v>123</v>
      </c>
      <c r="C93" s="18">
        <v>19107</v>
      </c>
      <c r="D93" s="18" t="s">
        <v>12</v>
      </c>
      <c r="E93" s="19">
        <v>17857</v>
      </c>
      <c r="F93" s="18" t="s">
        <v>10</v>
      </c>
      <c r="G93" s="20">
        <v>44103</v>
      </c>
      <c r="H93" s="18" t="s">
        <v>11</v>
      </c>
      <c r="I93" s="20">
        <v>44112</v>
      </c>
      <c r="J93" s="30">
        <f>Inbound[[#This Row],[Expected Receipt Date]]</f>
        <v>44112</v>
      </c>
      <c r="K93" s="20">
        <f>IF(Inbound[[#This Row],[Unloading Date]]="","",Inbound[[#This Row],[Unloading Date]]+8-WEEKDAY(Inbound[[#This Row],[Unloading Date]]))</f>
        <v>44115</v>
      </c>
      <c r="L93" s="42" t="s">
        <v>86</v>
      </c>
    </row>
    <row r="94" spans="1:12" x14ac:dyDescent="0.25">
      <c r="A94" s="37">
        <v>44113</v>
      </c>
      <c r="B94" s="38" t="s">
        <v>124</v>
      </c>
      <c r="C94" s="38">
        <v>19110</v>
      </c>
      <c r="D94" s="38" t="s">
        <v>21</v>
      </c>
      <c r="E94" s="39">
        <v>17857</v>
      </c>
      <c r="F94" s="38" t="s">
        <v>10</v>
      </c>
      <c r="G94" s="40">
        <v>44103</v>
      </c>
      <c r="H94" s="38" t="s">
        <v>11</v>
      </c>
      <c r="I94" s="40">
        <v>44117</v>
      </c>
      <c r="J94" s="41">
        <f>Inbound[[#This Row],[Expected Receipt Date]]</f>
        <v>44117</v>
      </c>
      <c r="K94" s="40">
        <f>IF(Inbound[[#This Row],[Unloading Date]]="","",Inbound[[#This Row],[Unloading Date]]+8-WEEKDAY(Inbound[[#This Row],[Unloading Date]]))</f>
        <v>44115</v>
      </c>
      <c r="L94" s="42" t="s">
        <v>86</v>
      </c>
    </row>
    <row r="95" spans="1:12" x14ac:dyDescent="0.25">
      <c r="A95" s="37">
        <v>44113</v>
      </c>
      <c r="B95" s="38" t="s">
        <v>120</v>
      </c>
      <c r="C95" s="38">
        <v>19128</v>
      </c>
      <c r="D95" s="38" t="s">
        <v>17</v>
      </c>
      <c r="E95" s="39">
        <v>17857</v>
      </c>
      <c r="F95" s="38" t="s">
        <v>10</v>
      </c>
      <c r="G95" s="40">
        <v>44097</v>
      </c>
      <c r="H95" s="38" t="s">
        <v>18</v>
      </c>
      <c r="I95" s="40">
        <v>44117</v>
      </c>
      <c r="J95" s="41">
        <f>Inbound[[#This Row],[Expected Receipt Date]]</f>
        <v>44117</v>
      </c>
      <c r="K95" s="40">
        <f>IF(Inbound[[#This Row],[Unloading Date]]="","",Inbound[[#This Row],[Unloading Date]]+8-WEEKDAY(Inbound[[#This Row],[Unloading Date]]))</f>
        <v>44115</v>
      </c>
      <c r="L95" s="42" t="s">
        <v>86</v>
      </c>
    </row>
    <row r="96" spans="1:12" x14ac:dyDescent="0.25">
      <c r="A96" s="37">
        <v>44116</v>
      </c>
      <c r="B96" s="38" t="s">
        <v>126</v>
      </c>
      <c r="C96" s="38">
        <v>19128</v>
      </c>
      <c r="D96" s="38" t="s">
        <v>17</v>
      </c>
      <c r="E96" s="39">
        <v>17857</v>
      </c>
      <c r="F96" s="38" t="s">
        <v>10</v>
      </c>
      <c r="G96" s="40">
        <v>44104</v>
      </c>
      <c r="H96" s="38" t="s">
        <v>18</v>
      </c>
      <c r="I96" s="40">
        <v>44117</v>
      </c>
      <c r="J96" s="41">
        <f>Inbound[[#This Row],[Expected Receipt Date]]</f>
        <v>44117</v>
      </c>
      <c r="K96" s="40">
        <f>IF(Inbound[[#This Row],[Unloading Date]]="","",Inbound[[#This Row],[Unloading Date]]+8-WEEKDAY(Inbound[[#This Row],[Unloading Date]]))</f>
        <v>44122</v>
      </c>
      <c r="L96" s="42" t="s">
        <v>86</v>
      </c>
    </row>
    <row r="97" spans="1:12" x14ac:dyDescent="0.25">
      <c r="A97" s="37">
        <v>44116</v>
      </c>
      <c r="B97" s="38" t="s">
        <v>122</v>
      </c>
      <c r="C97" s="38">
        <v>19109</v>
      </c>
      <c r="D97" s="38" t="s">
        <v>13</v>
      </c>
      <c r="E97" s="39">
        <v>17857</v>
      </c>
      <c r="F97" s="38" t="s">
        <v>10</v>
      </c>
      <c r="G97" s="40">
        <v>44102</v>
      </c>
      <c r="H97" s="38" t="s">
        <v>14</v>
      </c>
      <c r="I97" s="40">
        <v>44119</v>
      </c>
      <c r="J97" s="41">
        <f>Inbound[[#This Row],[Expected Receipt Date]]</f>
        <v>44119</v>
      </c>
      <c r="K97" s="40">
        <f>IF(Inbound[[#This Row],[Unloading Date]]="","",Inbound[[#This Row],[Unloading Date]]+8-WEEKDAY(Inbound[[#This Row],[Unloading Date]]))</f>
        <v>44122</v>
      </c>
      <c r="L97" s="42" t="s">
        <v>86</v>
      </c>
    </row>
    <row r="98" spans="1:12" x14ac:dyDescent="0.25">
      <c r="A98" s="43">
        <v>44117</v>
      </c>
      <c r="B98" s="38" t="s">
        <v>96</v>
      </c>
      <c r="C98" s="38">
        <v>18380</v>
      </c>
      <c r="D98" s="38" t="s">
        <v>9</v>
      </c>
      <c r="E98" s="39">
        <v>17857</v>
      </c>
      <c r="F98" s="38" t="s">
        <v>10</v>
      </c>
      <c r="G98" s="40">
        <v>44069</v>
      </c>
      <c r="H98" s="38" t="s">
        <v>18</v>
      </c>
      <c r="I98" s="40">
        <v>44119</v>
      </c>
      <c r="J98" s="41">
        <f>Inbound[[#This Row],[Expected Receipt Date]]</f>
        <v>44119</v>
      </c>
      <c r="K98" s="20">
        <f>IF(Inbound[[#This Row],[Unloading Date]]="","",Inbound[[#This Row],[Unloading Date]]+8-WEEKDAY(Inbound[[#This Row],[Unloading Date]]))</f>
        <v>44122</v>
      </c>
      <c r="L98" s="42" t="s">
        <v>86</v>
      </c>
    </row>
    <row r="99" spans="1:12" x14ac:dyDescent="0.25">
      <c r="A99" s="43">
        <v>44119</v>
      </c>
      <c r="B99" s="18" t="s">
        <v>129</v>
      </c>
      <c r="C99" s="18">
        <v>19107</v>
      </c>
      <c r="D99" s="18" t="s">
        <v>12</v>
      </c>
      <c r="E99" s="19">
        <v>17857</v>
      </c>
      <c r="F99" s="18" t="s">
        <v>10</v>
      </c>
      <c r="G99" s="20">
        <v>44110</v>
      </c>
      <c r="H99" s="18" t="s">
        <v>11</v>
      </c>
      <c r="I99" s="20">
        <v>44124</v>
      </c>
      <c r="J99" s="30">
        <f>Inbound[[#This Row],[Expected Receipt Date]]</f>
        <v>44124</v>
      </c>
      <c r="K99" s="20">
        <f>IF(Inbound[[#This Row],[Unloading Date]]="","",Inbound[[#This Row],[Unloading Date]]+8-WEEKDAY(Inbound[[#This Row],[Unloading Date]]))</f>
        <v>44122</v>
      </c>
      <c r="L99" s="45" t="s">
        <v>86</v>
      </c>
    </row>
    <row r="100" spans="1:12" x14ac:dyDescent="0.25">
      <c r="A100" s="37">
        <v>44123</v>
      </c>
      <c r="B100" s="38" t="s">
        <v>130</v>
      </c>
      <c r="C100" s="38">
        <v>19109</v>
      </c>
      <c r="D100" s="38" t="s">
        <v>13</v>
      </c>
      <c r="E100" s="39">
        <v>17857</v>
      </c>
      <c r="F100" s="38" t="s">
        <v>10</v>
      </c>
      <c r="G100" s="40">
        <v>44110</v>
      </c>
      <c r="H100" s="38" t="s">
        <v>11</v>
      </c>
      <c r="I100" s="40">
        <v>44126</v>
      </c>
      <c r="J100" s="41">
        <f>Inbound[[#This Row],[Expected Receipt Date]]</f>
        <v>44126</v>
      </c>
      <c r="K100" s="40">
        <f>IF(Inbound[[#This Row],[Unloading Date]]="","",Inbound[[#This Row],[Unloading Date]]+8-WEEKDAY(Inbound[[#This Row],[Unloading Date]]))</f>
        <v>44129</v>
      </c>
      <c r="L100" s="42" t="s">
        <v>86</v>
      </c>
    </row>
    <row r="101" spans="1:12" x14ac:dyDescent="0.25">
      <c r="A101" s="37">
        <v>44123</v>
      </c>
      <c r="B101" s="38" t="s">
        <v>131</v>
      </c>
      <c r="C101" s="38">
        <v>19128</v>
      </c>
      <c r="D101" s="38" t="s">
        <v>17</v>
      </c>
      <c r="E101" s="39">
        <v>17857</v>
      </c>
      <c r="F101" s="38" t="s">
        <v>10</v>
      </c>
      <c r="G101" s="40">
        <v>44111</v>
      </c>
      <c r="H101" s="38" t="s">
        <v>18</v>
      </c>
      <c r="I101" s="40">
        <v>44126</v>
      </c>
      <c r="J101" s="41">
        <f>Inbound[[#This Row],[Expected Receipt Date]]</f>
        <v>44126</v>
      </c>
      <c r="K101" s="40">
        <f>IF(Inbound[[#This Row],[Unloading Date]]="","",Inbound[[#This Row],[Unloading Date]]+8-WEEKDAY(Inbound[[#This Row],[Unloading Date]]))</f>
        <v>44129</v>
      </c>
      <c r="L101" s="42" t="s">
        <v>86</v>
      </c>
    </row>
    <row r="102" spans="1:12" x14ac:dyDescent="0.25">
      <c r="A102" s="37">
        <v>44124</v>
      </c>
      <c r="B102" s="38" t="s">
        <v>132</v>
      </c>
      <c r="C102" s="38">
        <v>19109</v>
      </c>
      <c r="D102" s="38" t="s">
        <v>13</v>
      </c>
      <c r="E102" s="39">
        <v>17857</v>
      </c>
      <c r="F102" s="38" t="s">
        <v>10</v>
      </c>
      <c r="G102" s="40">
        <v>44116</v>
      </c>
      <c r="H102" s="38" t="s">
        <v>14</v>
      </c>
      <c r="I102" s="40">
        <v>44127</v>
      </c>
      <c r="J102" s="41">
        <f>Inbound[[#This Row],[Expected Receipt Date]]</f>
        <v>44127</v>
      </c>
      <c r="K102" s="40">
        <f>IF(Inbound[[#This Row],[Unloading Date]]="","",Inbound[[#This Row],[Unloading Date]]+8-WEEKDAY(Inbound[[#This Row],[Unloading Date]]))</f>
        <v>44129</v>
      </c>
      <c r="L102" s="42" t="s">
        <v>86</v>
      </c>
    </row>
    <row r="103" spans="1:12" x14ac:dyDescent="0.25">
      <c r="A103" s="37">
        <v>44126</v>
      </c>
      <c r="B103" s="38" t="s">
        <v>134</v>
      </c>
      <c r="C103" s="38">
        <v>19110</v>
      </c>
      <c r="D103" s="38" t="s">
        <v>21</v>
      </c>
      <c r="E103" s="39">
        <v>17857</v>
      </c>
      <c r="F103" s="38" t="s">
        <v>10</v>
      </c>
      <c r="G103" s="40">
        <v>44117</v>
      </c>
      <c r="H103" s="38" t="s">
        <v>11</v>
      </c>
      <c r="I103" s="40">
        <v>44126</v>
      </c>
      <c r="J103" s="41">
        <f>Inbound[[#This Row],[Expected Receipt Date]]</f>
        <v>44126</v>
      </c>
      <c r="K103" s="40">
        <f>IF(Inbound[[#This Row],[Unloading Date]]="","",Inbound[[#This Row],[Unloading Date]]+8-WEEKDAY(Inbound[[#This Row],[Unloading Date]]))</f>
        <v>44129</v>
      </c>
      <c r="L103" s="42" t="s">
        <v>86</v>
      </c>
    </row>
    <row r="104" spans="1:12" x14ac:dyDescent="0.25">
      <c r="A104" s="37">
        <v>44127</v>
      </c>
      <c r="B104" s="38" t="s">
        <v>135</v>
      </c>
      <c r="C104" s="38">
        <v>19107</v>
      </c>
      <c r="D104" s="38" t="s">
        <v>12</v>
      </c>
      <c r="E104" s="39">
        <v>17857</v>
      </c>
      <c r="F104" s="38" t="s">
        <v>10</v>
      </c>
      <c r="G104" s="40">
        <v>44117</v>
      </c>
      <c r="H104" s="38" t="s">
        <v>11</v>
      </c>
      <c r="I104" s="40">
        <v>44131</v>
      </c>
      <c r="J104" s="41">
        <f>Inbound[[#This Row],[Expected Receipt Date]]</f>
        <v>44131</v>
      </c>
      <c r="K104" s="40">
        <f>IF(Inbound[[#This Row],[Unloading Date]]="","",Inbound[[#This Row],[Unloading Date]]+8-WEEKDAY(Inbound[[#This Row],[Unloading Date]]))</f>
        <v>44129</v>
      </c>
      <c r="L104" s="42" t="s">
        <v>86</v>
      </c>
    </row>
    <row r="105" spans="1:12" x14ac:dyDescent="0.25">
      <c r="A105" s="37">
        <v>44127</v>
      </c>
      <c r="B105" s="38" t="s">
        <v>136</v>
      </c>
      <c r="C105" s="38">
        <v>19128</v>
      </c>
      <c r="D105" s="38" t="s">
        <v>17</v>
      </c>
      <c r="E105" s="39">
        <v>17857</v>
      </c>
      <c r="F105" s="38" t="s">
        <v>10</v>
      </c>
      <c r="G105" s="40">
        <v>44118</v>
      </c>
      <c r="H105" s="38" t="s">
        <v>18</v>
      </c>
      <c r="I105" s="40">
        <v>44131</v>
      </c>
      <c r="J105" s="41">
        <f>Inbound[[#This Row],[Expected Receipt Date]]</f>
        <v>44131</v>
      </c>
      <c r="K105" s="40">
        <f>IF(Inbound[[#This Row],[Unloading Date]]="","",Inbound[[#This Row],[Unloading Date]]+8-WEEKDAY(Inbound[[#This Row],[Unloading Date]]))</f>
        <v>44129</v>
      </c>
      <c r="L105" s="42" t="s">
        <v>86</v>
      </c>
    </row>
    <row r="106" spans="1:12" x14ac:dyDescent="0.25">
      <c r="A106" s="37">
        <v>44130</v>
      </c>
      <c r="B106" s="38" t="s">
        <v>133</v>
      </c>
      <c r="C106" s="38">
        <v>19108</v>
      </c>
      <c r="D106" s="38" t="s">
        <v>19</v>
      </c>
      <c r="E106" s="39">
        <v>17857</v>
      </c>
      <c r="F106" s="38" t="s">
        <v>10</v>
      </c>
      <c r="G106" s="40">
        <v>44116</v>
      </c>
      <c r="H106" s="38" t="s">
        <v>14</v>
      </c>
      <c r="I106" s="40">
        <v>44131</v>
      </c>
      <c r="J106" s="41">
        <f>Inbound[[#This Row],[Expected Receipt Date]]</f>
        <v>44131</v>
      </c>
      <c r="K106" s="40">
        <f>IF(Inbound[[#This Row],[Unloading Date]]="","",Inbound[[#This Row],[Unloading Date]]+8-WEEKDAY(Inbound[[#This Row],[Unloading Date]]))</f>
        <v>44136</v>
      </c>
      <c r="L106" s="42" t="s">
        <v>86</v>
      </c>
    </row>
    <row r="107" spans="1:12" x14ac:dyDescent="0.25">
      <c r="A107" s="37">
        <v>44131</v>
      </c>
      <c r="B107" s="38" t="s">
        <v>137</v>
      </c>
      <c r="C107" s="38">
        <v>19108</v>
      </c>
      <c r="D107" s="38" t="s">
        <v>19</v>
      </c>
      <c r="E107" s="39">
        <v>17857</v>
      </c>
      <c r="F107" s="38" t="s">
        <v>10</v>
      </c>
      <c r="G107" s="40">
        <v>44119</v>
      </c>
      <c r="H107" s="38" t="s">
        <v>109</v>
      </c>
      <c r="I107" s="40">
        <v>44131</v>
      </c>
      <c r="J107" s="41">
        <f>Inbound[[#This Row],[Expected Receipt Date]]</f>
        <v>44131</v>
      </c>
      <c r="K107" s="40">
        <f>IF(Inbound[[#This Row],[Unloading Date]]="","",Inbound[[#This Row],[Unloading Date]]+8-WEEKDAY(Inbound[[#This Row],[Unloading Date]]))</f>
        <v>44136</v>
      </c>
      <c r="L107" s="42" t="s">
        <v>86</v>
      </c>
    </row>
    <row r="108" spans="1:12" x14ac:dyDescent="0.25">
      <c r="A108" s="37">
        <v>44134</v>
      </c>
      <c r="B108" s="38" t="s">
        <v>141</v>
      </c>
      <c r="C108" s="38">
        <v>19107</v>
      </c>
      <c r="D108" s="38" t="s">
        <v>12</v>
      </c>
      <c r="E108" s="39">
        <v>17857</v>
      </c>
      <c r="F108" s="38" t="s">
        <v>10</v>
      </c>
      <c r="G108" s="40">
        <v>44124</v>
      </c>
      <c r="H108" s="38" t="s">
        <v>11</v>
      </c>
      <c r="I108" s="40">
        <v>44138</v>
      </c>
      <c r="J108" s="41">
        <f>Inbound[[#This Row],[Expected Receipt Date]]</f>
        <v>44138</v>
      </c>
      <c r="K108" s="40">
        <f>IF(Inbound[[#This Row],[Unloading Date]]="","",Inbound[[#This Row],[Unloading Date]]+8-WEEKDAY(Inbound[[#This Row],[Unloading Date]]))</f>
        <v>44136</v>
      </c>
      <c r="L108" s="42" t="s">
        <v>86</v>
      </c>
    </row>
    <row r="109" spans="1:12" x14ac:dyDescent="0.25">
      <c r="A109" s="37">
        <v>44134</v>
      </c>
      <c r="B109" s="38" t="s">
        <v>140</v>
      </c>
      <c r="C109" s="38">
        <v>19109</v>
      </c>
      <c r="D109" s="38" t="s">
        <v>13</v>
      </c>
      <c r="E109" s="39">
        <v>17857</v>
      </c>
      <c r="F109" s="38" t="s">
        <v>10</v>
      </c>
      <c r="G109" s="40">
        <v>44123</v>
      </c>
      <c r="H109" s="38" t="s">
        <v>14</v>
      </c>
      <c r="I109" s="40">
        <v>44138</v>
      </c>
      <c r="J109" s="41">
        <f>Inbound[[#This Row],[Expected Receipt Date]]</f>
        <v>44138</v>
      </c>
      <c r="K109" s="40">
        <f>IF(Inbound[[#This Row],[Unloading Date]]="","",Inbound[[#This Row],[Unloading Date]]+8-WEEKDAY(Inbound[[#This Row],[Unloading Date]]))</f>
        <v>44136</v>
      </c>
      <c r="L109" s="42" t="s">
        <v>86</v>
      </c>
    </row>
    <row r="110" spans="1:12" x14ac:dyDescent="0.25">
      <c r="A110" s="37">
        <v>44139</v>
      </c>
      <c r="B110" s="38" t="s">
        <v>142</v>
      </c>
      <c r="C110" s="38">
        <v>19128</v>
      </c>
      <c r="D110" s="38" t="s">
        <v>17</v>
      </c>
      <c r="E110" s="39">
        <v>17857</v>
      </c>
      <c r="F110" s="38" t="s">
        <v>10</v>
      </c>
      <c r="G110" s="40">
        <v>44125</v>
      </c>
      <c r="H110" s="38" t="s">
        <v>18</v>
      </c>
      <c r="I110" s="40">
        <v>44140</v>
      </c>
      <c r="J110" s="41">
        <f>Inbound[[#This Row],[Expected Receipt Date]]</f>
        <v>44140</v>
      </c>
      <c r="K110" s="40">
        <f>IF(Inbound[[#This Row],[Unloading Date]]="","",Inbound[[#This Row],[Unloading Date]]+8-WEEKDAY(Inbound[[#This Row],[Unloading Date]]))</f>
        <v>44143</v>
      </c>
      <c r="L110" s="42" t="s">
        <v>86</v>
      </c>
    </row>
    <row r="111" spans="1:12" x14ac:dyDescent="0.25">
      <c r="A111" s="37">
        <v>44139</v>
      </c>
      <c r="B111" s="38" t="s">
        <v>150</v>
      </c>
      <c r="C111" s="38">
        <v>19107</v>
      </c>
      <c r="D111" s="38" t="s">
        <v>12</v>
      </c>
      <c r="E111" s="39">
        <v>17857</v>
      </c>
      <c r="F111" s="38" t="s">
        <v>10</v>
      </c>
      <c r="G111" s="40">
        <v>44131</v>
      </c>
      <c r="H111" s="38" t="s">
        <v>11</v>
      </c>
      <c r="I111" s="40">
        <v>44140</v>
      </c>
      <c r="J111" s="41">
        <f>Inbound[[#This Row],[Expected Receipt Date]]</f>
        <v>44140</v>
      </c>
      <c r="K111" s="40">
        <f>IF(Inbound[[#This Row],[Unloading Date]]="","",Inbound[[#This Row],[Unloading Date]]+8-WEEKDAY(Inbound[[#This Row],[Unloading Date]]))</f>
        <v>44143</v>
      </c>
      <c r="L111" s="42" t="s">
        <v>86</v>
      </c>
    </row>
    <row r="112" spans="1:12" x14ac:dyDescent="0.25">
      <c r="A112" s="37">
        <v>44139</v>
      </c>
      <c r="B112" s="38" t="s">
        <v>152</v>
      </c>
      <c r="C112" s="38">
        <v>19128</v>
      </c>
      <c r="D112" s="38" t="s">
        <v>17</v>
      </c>
      <c r="E112" s="39">
        <v>17857</v>
      </c>
      <c r="F112" s="38" t="s">
        <v>10</v>
      </c>
      <c r="G112" s="40">
        <v>44132</v>
      </c>
      <c r="H112" s="38" t="s">
        <v>18</v>
      </c>
      <c r="I112" s="40">
        <v>44140</v>
      </c>
      <c r="J112" s="41">
        <f>Inbound[[#This Row],[Expected Receipt Date]]</f>
        <v>44140</v>
      </c>
      <c r="K112" s="40">
        <f>IF(Inbound[[#This Row],[Unloading Date]]="","",Inbound[[#This Row],[Unloading Date]]+8-WEEKDAY(Inbound[[#This Row],[Unloading Date]]))</f>
        <v>44143</v>
      </c>
      <c r="L112" s="42" t="s">
        <v>86</v>
      </c>
    </row>
    <row r="113" spans="1:12" x14ac:dyDescent="0.25">
      <c r="A113" s="37">
        <v>44140</v>
      </c>
      <c r="B113" s="38" t="s">
        <v>151</v>
      </c>
      <c r="C113" s="38">
        <v>19110</v>
      </c>
      <c r="D113" s="38" t="s">
        <v>21</v>
      </c>
      <c r="E113" s="39">
        <v>17857</v>
      </c>
      <c r="F113" s="38" t="s">
        <v>10</v>
      </c>
      <c r="G113" s="40">
        <v>44132</v>
      </c>
      <c r="H113" s="38" t="s">
        <v>18</v>
      </c>
      <c r="I113" s="40">
        <v>44145</v>
      </c>
      <c r="J113" s="41">
        <f>Inbound[[#This Row],[Expected Receipt Date]]</f>
        <v>44145</v>
      </c>
      <c r="K113" s="40">
        <f>IF(Inbound[[#This Row],[Unloading Date]]="","",Inbound[[#This Row],[Unloading Date]]+8-WEEKDAY(Inbound[[#This Row],[Unloading Date]]))</f>
        <v>44143</v>
      </c>
      <c r="L113" s="42" t="s">
        <v>86</v>
      </c>
    </row>
    <row r="114" spans="1:12" x14ac:dyDescent="0.25">
      <c r="A114" s="37">
        <v>44140</v>
      </c>
      <c r="B114" s="38" t="s">
        <v>147</v>
      </c>
      <c r="C114" s="38">
        <v>19108</v>
      </c>
      <c r="D114" s="38" t="s">
        <v>19</v>
      </c>
      <c r="E114" s="39">
        <v>17857</v>
      </c>
      <c r="F114" s="38" t="s">
        <v>10</v>
      </c>
      <c r="G114" s="40">
        <v>44130</v>
      </c>
      <c r="H114" s="38" t="s">
        <v>14</v>
      </c>
      <c r="I114" s="40">
        <v>44145</v>
      </c>
      <c r="J114" s="41">
        <f>Inbound[[#This Row],[Expected Receipt Date]]</f>
        <v>44145</v>
      </c>
      <c r="K114" s="40">
        <f>IF(Inbound[[#This Row],[Unloading Date]]="","",Inbound[[#This Row],[Unloading Date]]+8-WEEKDAY(Inbound[[#This Row],[Unloading Date]]))</f>
        <v>44143</v>
      </c>
      <c r="L114" s="42" t="s">
        <v>86</v>
      </c>
    </row>
    <row r="115" spans="1:12" x14ac:dyDescent="0.25">
      <c r="A115" s="34">
        <v>44141</v>
      </c>
      <c r="B115" s="21" t="s">
        <v>146</v>
      </c>
      <c r="C115" s="21">
        <v>19109</v>
      </c>
      <c r="D115" s="21" t="s">
        <v>13</v>
      </c>
      <c r="E115" s="22">
        <v>17857</v>
      </c>
      <c r="F115" s="21" t="s">
        <v>10</v>
      </c>
      <c r="G115" s="23">
        <v>44130</v>
      </c>
      <c r="H115" s="21" t="s">
        <v>14</v>
      </c>
      <c r="I115" s="23">
        <v>44145</v>
      </c>
      <c r="J115" s="36">
        <f>Inbound[[#This Row],[Expected Receipt Date]]</f>
        <v>44145</v>
      </c>
      <c r="K115" s="31">
        <f>IF(Inbound[[#This Row],[Unloading Date]]="","",Inbound[[#This Row],[Unloading Date]]+8-WEEKDAY(Inbound[[#This Row],[Unloading Date]]))</f>
        <v>44143</v>
      </c>
      <c r="L115" s="42" t="s">
        <v>86</v>
      </c>
    </row>
    <row r="116" spans="1:12" x14ac:dyDescent="0.25">
      <c r="A116" s="37">
        <v>44141</v>
      </c>
      <c r="B116" s="38" t="s">
        <v>143</v>
      </c>
      <c r="C116" s="38">
        <v>23855</v>
      </c>
      <c r="D116" s="38" t="s">
        <v>33</v>
      </c>
      <c r="E116" s="39">
        <v>17857</v>
      </c>
      <c r="F116" s="38" t="s">
        <v>10</v>
      </c>
      <c r="G116" s="40">
        <v>44127</v>
      </c>
      <c r="H116" s="38" t="s">
        <v>15</v>
      </c>
      <c r="I116" s="40">
        <v>44147</v>
      </c>
      <c r="J116" s="41">
        <f>Inbound[[#This Row],[Expected Receipt Date]]</f>
        <v>44147</v>
      </c>
      <c r="K116" s="40">
        <f>IF(Inbound[[#This Row],[Unloading Date]]="","",Inbound[[#This Row],[Unloading Date]]+8-WEEKDAY(Inbound[[#This Row],[Unloading Date]]))</f>
        <v>44143</v>
      </c>
      <c r="L116" s="42" t="s">
        <v>86</v>
      </c>
    </row>
    <row r="117" spans="1:12" x14ac:dyDescent="0.25">
      <c r="A117" s="37">
        <v>44141</v>
      </c>
      <c r="B117" s="38" t="s">
        <v>138</v>
      </c>
      <c r="C117" s="38">
        <v>23852</v>
      </c>
      <c r="D117" s="38" t="s">
        <v>46</v>
      </c>
      <c r="E117" s="39">
        <v>17857</v>
      </c>
      <c r="F117" s="38" t="s">
        <v>10</v>
      </c>
      <c r="G117" s="40">
        <v>44119</v>
      </c>
      <c r="H117" s="38" t="s">
        <v>109</v>
      </c>
      <c r="I117" s="40">
        <v>44147</v>
      </c>
      <c r="J117" s="41">
        <f>Inbound[[#This Row],[Expected Receipt Date]]</f>
        <v>44147</v>
      </c>
      <c r="K117" s="40">
        <f>IF(Inbound[[#This Row],[Unloading Date]]="","",Inbound[[#This Row],[Unloading Date]]+8-WEEKDAY(Inbound[[#This Row],[Unloading Date]]))</f>
        <v>44143</v>
      </c>
      <c r="L117" s="42" t="s">
        <v>86</v>
      </c>
    </row>
    <row r="118" spans="1:12" x14ac:dyDescent="0.25">
      <c r="A118" s="54">
        <v>44145</v>
      </c>
      <c r="B118" s="55" t="s">
        <v>156</v>
      </c>
      <c r="C118" s="55">
        <v>19108</v>
      </c>
      <c r="D118" s="55" t="s">
        <v>19</v>
      </c>
      <c r="E118" s="56">
        <v>17857</v>
      </c>
      <c r="F118" s="55" t="s">
        <v>10</v>
      </c>
      <c r="G118" s="57">
        <v>44138</v>
      </c>
      <c r="H118" s="55" t="s">
        <v>11</v>
      </c>
      <c r="I118" s="57">
        <v>44151</v>
      </c>
      <c r="J118" s="58">
        <f>Inbound[[#This Row],[Expected Receipt Date]]</f>
        <v>44151</v>
      </c>
      <c r="K118" s="57">
        <f>IF(Inbound[[#This Row],[Unloading Date]]="","",Inbound[[#This Row],[Unloading Date]]+8-WEEKDAY(Inbound[[#This Row],[Unloading Date]]))</f>
        <v>44150</v>
      </c>
      <c r="L118" s="59"/>
    </row>
    <row r="119" spans="1:12" x14ac:dyDescent="0.25">
      <c r="A119" s="51"/>
      <c r="B119" s="46" t="s">
        <v>128</v>
      </c>
      <c r="C119" s="47">
        <v>18380</v>
      </c>
      <c r="D119" s="47" t="s">
        <v>9</v>
      </c>
      <c r="E119" s="48">
        <v>17857</v>
      </c>
      <c r="F119" s="47" t="s">
        <v>10</v>
      </c>
      <c r="G119" s="49">
        <v>44105</v>
      </c>
      <c r="H119" s="47" t="s">
        <v>109</v>
      </c>
      <c r="I119" s="49">
        <v>44140</v>
      </c>
      <c r="J119" s="50">
        <f>Inbound[[#This Row],[Expected Receipt Date]]</f>
        <v>44140</v>
      </c>
      <c r="K119" s="52" t="str">
        <f>IF(Inbound[[#This Row],[Unloading Date]]="","",Inbound[[#This Row],[Unloading Date]]+8-WEEKDAY(Inbound[[#This Row],[Unloading Date]]))</f>
        <v/>
      </c>
      <c r="L119" s="53"/>
    </row>
    <row r="120" spans="1:12" x14ac:dyDescent="0.25">
      <c r="A120" s="51"/>
      <c r="B120" s="46" t="s">
        <v>139</v>
      </c>
      <c r="C120" s="47">
        <v>23855</v>
      </c>
      <c r="D120" s="47" t="s">
        <v>33</v>
      </c>
      <c r="E120" s="48">
        <v>17857</v>
      </c>
      <c r="F120" s="47" t="s">
        <v>10</v>
      </c>
      <c r="G120" s="49">
        <v>44119</v>
      </c>
      <c r="H120" s="47" t="s">
        <v>109</v>
      </c>
      <c r="I120" s="49">
        <v>44144</v>
      </c>
      <c r="J120" s="50">
        <f>Inbound[[#This Row],[Expected Receipt Date]]</f>
        <v>44144</v>
      </c>
      <c r="K120" s="52" t="str">
        <f>IF(Inbound[[#This Row],[Unloading Date]]="","",Inbound[[#This Row],[Unloading Date]]+8-WEEKDAY(Inbound[[#This Row],[Unloading Date]]))</f>
        <v/>
      </c>
      <c r="L120" s="53"/>
    </row>
    <row r="121" spans="1:12" x14ac:dyDescent="0.25">
      <c r="A121" s="67"/>
      <c r="B121" s="68" t="s">
        <v>145</v>
      </c>
      <c r="C121" s="68">
        <v>19109</v>
      </c>
      <c r="D121" s="68" t="s">
        <v>13</v>
      </c>
      <c r="E121" s="69">
        <v>17857</v>
      </c>
      <c r="F121" s="68" t="s">
        <v>10</v>
      </c>
      <c r="G121" s="70">
        <v>44130</v>
      </c>
      <c r="H121" s="68" t="s">
        <v>14</v>
      </c>
      <c r="I121" s="70">
        <v>44147</v>
      </c>
      <c r="J121" s="71">
        <f>Inbound[[#This Row],[Expected Receipt Date]]</f>
        <v>44147</v>
      </c>
      <c r="K121" s="70" t="str">
        <f>IF(Inbound[[#This Row],[Unloading Date]]="","",Inbound[[#This Row],[Unloading Date]]+8-WEEKDAY(Inbound[[#This Row],[Unloading Date]]))</f>
        <v/>
      </c>
      <c r="L121" s="72"/>
    </row>
    <row r="122" spans="1:12" x14ac:dyDescent="0.25">
      <c r="A122" s="60"/>
      <c r="B122" s="61" t="s">
        <v>148</v>
      </c>
      <c r="C122" s="61">
        <v>19108</v>
      </c>
      <c r="D122" s="61" t="s">
        <v>19</v>
      </c>
      <c r="E122" s="62">
        <v>17857</v>
      </c>
      <c r="F122" s="61" t="s">
        <v>10</v>
      </c>
      <c r="G122" s="63">
        <v>44130</v>
      </c>
      <c r="H122" s="61" t="s">
        <v>14</v>
      </c>
      <c r="I122" s="63">
        <v>44147</v>
      </c>
      <c r="J122" s="64">
        <f>Inbound[[#This Row],[Expected Receipt Date]]</f>
        <v>44147</v>
      </c>
      <c r="K122" s="65" t="str">
        <f>IF(Inbound[[#This Row],[Unloading Date]]="","",Inbound[[#This Row],[Unloading Date]]+8-WEEKDAY(Inbound[[#This Row],[Unloading Date]]))</f>
        <v/>
      </c>
      <c r="L122" s="66"/>
    </row>
    <row r="123" spans="1:12" x14ac:dyDescent="0.25">
      <c r="A123" s="51"/>
      <c r="B123" s="46" t="s">
        <v>127</v>
      </c>
      <c r="C123" s="47">
        <v>18380</v>
      </c>
      <c r="D123" s="47" t="s">
        <v>9</v>
      </c>
      <c r="E123" s="48">
        <v>17857</v>
      </c>
      <c r="F123" s="47" t="s">
        <v>10</v>
      </c>
      <c r="G123" s="49">
        <v>44104</v>
      </c>
      <c r="H123" s="47" t="s">
        <v>18</v>
      </c>
      <c r="I123" s="49">
        <v>44147</v>
      </c>
      <c r="J123" s="50">
        <f>Inbound[[#This Row],[Expected Receipt Date]]</f>
        <v>44147</v>
      </c>
      <c r="K123" s="52" t="str">
        <f>IF(Inbound[[#This Row],[Unloading Date]]="","",Inbound[[#This Row],[Unloading Date]]+8-WEEKDAY(Inbound[[#This Row],[Unloading Date]]))</f>
        <v/>
      </c>
      <c r="L123" s="53"/>
    </row>
    <row r="124" spans="1:12" x14ac:dyDescent="0.25">
      <c r="A124" s="35"/>
      <c r="B124" s="6" t="s">
        <v>144</v>
      </c>
      <c r="C124" s="7">
        <v>23852</v>
      </c>
      <c r="D124" s="7" t="s">
        <v>46</v>
      </c>
      <c r="E124" s="8">
        <v>17857</v>
      </c>
      <c r="F124" s="7" t="s">
        <v>10</v>
      </c>
      <c r="G124" s="9">
        <v>44127</v>
      </c>
      <c r="H124" s="7" t="s">
        <v>15</v>
      </c>
      <c r="I124" s="9">
        <v>44147</v>
      </c>
      <c r="J124" s="32">
        <f>Inbound[[#This Row],[Expected Receipt Date]]</f>
        <v>44147</v>
      </c>
      <c r="K124" s="26" t="str">
        <f>IF(Inbound[[#This Row],[Unloading Date]]="","",Inbound[[#This Row],[Unloading Date]]+8-WEEKDAY(Inbound[[#This Row],[Unloading Date]]))</f>
        <v/>
      </c>
      <c r="L124" s="25"/>
    </row>
    <row r="125" spans="1:12" x14ac:dyDescent="0.25">
      <c r="A125" s="35"/>
      <c r="B125" s="6" t="s">
        <v>154</v>
      </c>
      <c r="C125" s="7">
        <v>19107</v>
      </c>
      <c r="D125" s="7" t="s">
        <v>12</v>
      </c>
      <c r="E125" s="8">
        <v>17857</v>
      </c>
      <c r="F125" s="7" t="s">
        <v>10</v>
      </c>
      <c r="G125" s="9">
        <v>44138</v>
      </c>
      <c r="H125" s="7" t="s">
        <v>11</v>
      </c>
      <c r="I125" s="9">
        <v>44147</v>
      </c>
      <c r="J125" s="32">
        <f>Inbound[[#This Row],[Expected Receipt Date]]</f>
        <v>44147</v>
      </c>
      <c r="K125" s="26" t="str">
        <f>IF(Inbound[[#This Row],[Unloading Date]]="","",Inbound[[#This Row],[Unloading Date]]+8-WEEKDAY(Inbound[[#This Row],[Unloading Date]]))</f>
        <v/>
      </c>
      <c r="L125" s="25"/>
    </row>
    <row r="126" spans="1:12" x14ac:dyDescent="0.25">
      <c r="A126" s="35"/>
      <c r="B126" s="6" t="s">
        <v>157</v>
      </c>
      <c r="C126" s="7">
        <v>19128</v>
      </c>
      <c r="D126" s="7" t="s">
        <v>17</v>
      </c>
      <c r="E126" s="8">
        <v>17857</v>
      </c>
      <c r="F126" s="7" t="s">
        <v>10</v>
      </c>
      <c r="G126" s="9">
        <v>44139</v>
      </c>
      <c r="H126" s="7" t="s">
        <v>18</v>
      </c>
      <c r="I126" s="9">
        <v>44147</v>
      </c>
      <c r="J126" s="32">
        <f>Inbound[[#This Row],[Expected Receipt Date]]</f>
        <v>44147</v>
      </c>
      <c r="K126" s="26" t="str">
        <f>IF(Inbound[[#This Row],[Unloading Date]]="","",Inbound[[#This Row],[Unloading Date]]+8-WEEKDAY(Inbound[[#This Row],[Unloading Date]]))</f>
        <v/>
      </c>
      <c r="L126" s="25"/>
    </row>
    <row r="127" spans="1:12" x14ac:dyDescent="0.25">
      <c r="A127" s="35"/>
      <c r="B127" s="6" t="s">
        <v>153</v>
      </c>
      <c r="C127" s="7">
        <v>19109</v>
      </c>
      <c r="D127" s="7" t="s">
        <v>13</v>
      </c>
      <c r="E127" s="8">
        <v>17857</v>
      </c>
      <c r="F127" s="7" t="s">
        <v>10</v>
      </c>
      <c r="G127" s="9">
        <v>44137</v>
      </c>
      <c r="H127" s="7" t="s">
        <v>14</v>
      </c>
      <c r="I127" s="9">
        <v>44148</v>
      </c>
      <c r="J127" s="32">
        <f>Inbound[[#This Row],[Expected Receipt Date]]</f>
        <v>44148</v>
      </c>
      <c r="K127" s="26" t="str">
        <f>IF(Inbound[[#This Row],[Unloading Date]]="","",Inbound[[#This Row],[Unloading Date]]+8-WEEKDAY(Inbound[[#This Row],[Unloading Date]]))</f>
        <v/>
      </c>
      <c r="L127" s="25"/>
    </row>
    <row r="128" spans="1:12" x14ac:dyDescent="0.25">
      <c r="A128" s="51"/>
      <c r="B128" s="46" t="s">
        <v>155</v>
      </c>
      <c r="C128" s="47">
        <v>19109</v>
      </c>
      <c r="D128" s="47" t="s">
        <v>13</v>
      </c>
      <c r="E128" s="48">
        <v>17857</v>
      </c>
      <c r="F128" s="47" t="s">
        <v>10</v>
      </c>
      <c r="G128" s="49">
        <v>44138</v>
      </c>
      <c r="H128" s="47" t="s">
        <v>11</v>
      </c>
      <c r="I128" s="49">
        <v>44151</v>
      </c>
      <c r="J128" s="50">
        <f>Inbound[[#This Row],[Expected Receipt Date]]</f>
        <v>44151</v>
      </c>
      <c r="K128" s="52" t="str">
        <f>IF(Inbound[[#This Row],[Unloading Date]]="","",Inbound[[#This Row],[Unloading Date]]+8-WEEKDAY(Inbound[[#This Row],[Unloading Date]]))</f>
        <v/>
      </c>
      <c r="L128" s="53"/>
    </row>
    <row r="129" spans="1:12" x14ac:dyDescent="0.25">
      <c r="A129" s="35"/>
      <c r="B129" s="6" t="s">
        <v>159</v>
      </c>
      <c r="C129" s="7">
        <v>19107</v>
      </c>
      <c r="D129" s="7" t="s">
        <v>12</v>
      </c>
      <c r="E129" s="8">
        <v>17857</v>
      </c>
      <c r="F129" s="7" t="s">
        <v>10</v>
      </c>
      <c r="G129" s="9">
        <v>44145</v>
      </c>
      <c r="H129" s="7" t="s">
        <v>11</v>
      </c>
      <c r="I129" s="9">
        <v>44152</v>
      </c>
      <c r="J129" s="32">
        <f>Inbound[[#This Row],[Expected Receipt Date]]</f>
        <v>44152</v>
      </c>
      <c r="K129" s="26" t="str">
        <f>IF(Inbound[[#This Row],[Unloading Date]]="","",Inbound[[#This Row],[Unloading Date]]+8-WEEKDAY(Inbound[[#This Row],[Unloading Date]]))</f>
        <v/>
      </c>
      <c r="L129" s="25"/>
    </row>
    <row r="130" spans="1:12" x14ac:dyDescent="0.25">
      <c r="A130" s="35"/>
      <c r="B130" s="6" t="s">
        <v>160</v>
      </c>
      <c r="C130" s="7">
        <v>19110</v>
      </c>
      <c r="D130" s="7" t="s">
        <v>21</v>
      </c>
      <c r="E130" s="8">
        <v>17857</v>
      </c>
      <c r="F130" s="7" t="s">
        <v>10</v>
      </c>
      <c r="G130" s="9">
        <v>44145</v>
      </c>
      <c r="H130" s="7" t="s">
        <v>11</v>
      </c>
      <c r="I130" s="9">
        <v>44152</v>
      </c>
      <c r="J130" s="32">
        <f>Inbound[[#This Row],[Expected Receipt Date]]</f>
        <v>44152</v>
      </c>
      <c r="K130" s="26" t="str">
        <f>IF(Inbound[[#This Row],[Unloading Date]]="","",Inbound[[#This Row],[Unloading Date]]+8-WEEKDAY(Inbound[[#This Row],[Unloading Date]]))</f>
        <v/>
      </c>
      <c r="L130" s="25"/>
    </row>
    <row r="131" spans="1:12" x14ac:dyDescent="0.25">
      <c r="A131" s="35"/>
      <c r="B131" s="6" t="s">
        <v>158</v>
      </c>
      <c r="C131" s="7">
        <v>19109</v>
      </c>
      <c r="D131" s="7" t="s">
        <v>13</v>
      </c>
      <c r="E131" s="8">
        <v>17857</v>
      </c>
      <c r="F131" s="7" t="s">
        <v>10</v>
      </c>
      <c r="G131" s="9">
        <v>44144</v>
      </c>
      <c r="H131" s="7" t="s">
        <v>14</v>
      </c>
      <c r="I131" s="9">
        <v>44155</v>
      </c>
      <c r="J131" s="32">
        <f>Inbound[[#This Row],[Expected Receipt Date]]</f>
        <v>44155</v>
      </c>
      <c r="K131" s="26" t="str">
        <f>IF(Inbound[[#This Row],[Unloading Date]]="","",Inbound[[#This Row],[Unloading Date]]+8-WEEKDAY(Inbound[[#This Row],[Unloading Date]]))</f>
        <v/>
      </c>
      <c r="L131" s="25"/>
    </row>
    <row r="132" spans="1:12" x14ac:dyDescent="0.25">
      <c r="A132" s="35"/>
      <c r="B132" s="6" t="s">
        <v>161</v>
      </c>
      <c r="C132" s="7">
        <v>19108</v>
      </c>
      <c r="D132" s="7" t="s">
        <v>19</v>
      </c>
      <c r="E132" s="8">
        <v>17857</v>
      </c>
      <c r="F132" s="7" t="s">
        <v>10</v>
      </c>
      <c r="G132" s="9">
        <v>44144</v>
      </c>
      <c r="H132" s="7" t="s">
        <v>14</v>
      </c>
      <c r="I132" s="9">
        <v>44155</v>
      </c>
      <c r="J132" s="32">
        <f>Inbound[[#This Row],[Expected Receipt Date]]</f>
        <v>44155</v>
      </c>
      <c r="K132" s="26" t="str">
        <f>IF(Inbound[[#This Row],[Unloading Date]]="","",Inbound[[#This Row],[Unloading Date]]+8-WEEKDAY(Inbound[[#This Row],[Unloading Date]]))</f>
        <v/>
      </c>
      <c r="L132" s="25"/>
    </row>
    <row r="133" spans="1:12" x14ac:dyDescent="0.25">
      <c r="A133" s="35"/>
      <c r="B133" s="6" t="s">
        <v>110</v>
      </c>
      <c r="C133" s="7">
        <v>18380</v>
      </c>
      <c r="D133" s="7" t="s">
        <v>9</v>
      </c>
      <c r="E133" s="8">
        <v>17857</v>
      </c>
      <c r="F133" s="7" t="s">
        <v>10</v>
      </c>
      <c r="G133" s="9">
        <v>44085</v>
      </c>
      <c r="H133" s="7" t="s">
        <v>15</v>
      </c>
      <c r="I133" s="9">
        <v>44165</v>
      </c>
      <c r="J133" s="32">
        <f>Inbound[[#This Row],[Expected Receipt Date]]</f>
        <v>44165</v>
      </c>
      <c r="K133" s="26" t="str">
        <f>IF(Inbound[[#This Row],[Unloading Date]]="","",Inbound[[#This Row],[Unloading Date]]+8-WEEKDAY(Inbound[[#This Row],[Unloading Date]]))</f>
        <v/>
      </c>
      <c r="L133" s="25"/>
    </row>
    <row r="134" spans="1:12" x14ac:dyDescent="0.25">
      <c r="A134" s="35"/>
      <c r="B134" s="6" t="s">
        <v>149</v>
      </c>
      <c r="C134" s="7">
        <v>18380</v>
      </c>
      <c r="D134" s="7" t="s">
        <v>9</v>
      </c>
      <c r="E134" s="8">
        <v>17857</v>
      </c>
      <c r="F134" s="7" t="s">
        <v>10</v>
      </c>
      <c r="G134" s="9">
        <v>44130</v>
      </c>
      <c r="H134" s="7" t="s">
        <v>14</v>
      </c>
      <c r="I134" s="9">
        <v>44165</v>
      </c>
      <c r="J134" s="32">
        <f>Inbound[[#This Row],[Expected Receipt Date]]</f>
        <v>44165</v>
      </c>
      <c r="K134" s="26" t="str">
        <f>IF(Inbound[[#This Row],[Unloading Date]]="","",Inbound[[#This Row],[Unloading Date]]+8-WEEKDAY(Inbound[[#This Row],[Unloading Date]]))</f>
        <v/>
      </c>
      <c r="L134" s="25"/>
    </row>
    <row r="135" spans="1:12" x14ac:dyDescent="0.25">
      <c r="A135" s="35"/>
      <c r="B135" s="6" t="s">
        <v>162</v>
      </c>
      <c r="C135" s="7">
        <v>18380</v>
      </c>
      <c r="D135" s="7" t="s">
        <v>9</v>
      </c>
      <c r="E135" s="8">
        <v>17857</v>
      </c>
      <c r="F135" s="7" t="s">
        <v>10</v>
      </c>
      <c r="G135" s="9">
        <v>44145</v>
      </c>
      <c r="H135" s="7" t="s">
        <v>11</v>
      </c>
      <c r="I135" s="9">
        <v>44165</v>
      </c>
      <c r="J135" s="32">
        <f>Inbound[[#This Row],[Expected Receipt Date]]</f>
        <v>44165</v>
      </c>
      <c r="K135" s="26" t="str">
        <f>IF(Inbound[[#This Row],[Unloading Date]]="","",Inbound[[#This Row],[Unloading Date]]+8-WEEKDAY(Inbound[[#This Row],[Unloading Date]]))</f>
        <v/>
      </c>
      <c r="L135" s="25"/>
    </row>
    <row r="136" spans="1:12" x14ac:dyDescent="0.25">
      <c r="A136" s="35"/>
      <c r="B136" s="6" t="s">
        <v>119</v>
      </c>
      <c r="C136" s="7">
        <v>18380</v>
      </c>
      <c r="D136" s="7" t="s">
        <v>9</v>
      </c>
      <c r="E136" s="8">
        <v>17857</v>
      </c>
      <c r="F136" s="7" t="s">
        <v>10</v>
      </c>
      <c r="G136" s="9">
        <v>44096</v>
      </c>
      <c r="H136" s="7" t="s">
        <v>11</v>
      </c>
      <c r="I136" s="9">
        <v>44181</v>
      </c>
      <c r="J136" s="32">
        <f>Inbound[[#This Row],[Expected Receipt Date]]</f>
        <v>44181</v>
      </c>
      <c r="K136" s="26" t="str">
        <f>IF(Inbound[[#This Row],[Unloading Date]]="","",Inbound[[#This Row],[Unloading Date]]+8-WEEKDAY(Inbound[[#This Row],[Unloading Date]]))</f>
        <v/>
      </c>
      <c r="L136" s="25"/>
    </row>
  </sheetData>
  <conditionalFormatting sqref="B2:B136">
    <cfRule type="duplicateValues" dxfId="8" priority="5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Inbound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RexReport">
                <anchor moveWithCells="1" sizeWithCells="1">
                  <from>
                    <xdr:col>15</xdr:col>
                    <xdr:colOff>609600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int_Manifest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541D-3FE0-4755-BA1A-B0D516B8D44B}">
  <sheetPr codeName="ShOpenPO"/>
  <dimension ref="A1:I20"/>
  <sheetViews>
    <sheetView workbookViewId="0">
      <selection activeCell="C17" sqref="C17"/>
    </sheetView>
  </sheetViews>
  <sheetFormatPr defaultRowHeight="15" x14ac:dyDescent="0.25"/>
  <cols>
    <col min="1" max="1" width="11.7109375" bestFit="1" customWidth="1"/>
    <col min="2" max="2" width="13.7109375" style="5" bestFit="1" customWidth="1"/>
    <col min="3" max="3" width="43.28515625" bestFit="1" customWidth="1"/>
    <col min="4" max="4" width="8.5703125" bestFit="1" customWidth="1"/>
    <col min="5" max="5" width="14.5703125" bestFit="1" customWidth="1"/>
    <col min="6" max="6" width="14.140625" bestFit="1" customWidth="1"/>
    <col min="7" max="7" width="13.28515625" bestFit="1" customWidth="1"/>
    <col min="8" max="8" width="25.5703125" bestFit="1" customWidth="1"/>
    <col min="9" max="9" width="15.7109375" bestFit="1" customWidth="1"/>
    <col min="10" max="11" width="12.140625" bestFit="1" customWidth="1"/>
  </cols>
  <sheetData>
    <row r="1" spans="1:9" ht="15.75" x14ac:dyDescent="0.25">
      <c r="A1" s="3" t="s">
        <v>0</v>
      </c>
      <c r="B1" s="17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1"/>
      <c r="C2" s="1"/>
      <c r="E2" s="1"/>
      <c r="F2" s="2"/>
      <c r="G2" s="1"/>
      <c r="H2" s="2"/>
      <c r="I2" s="1"/>
    </row>
    <row r="3" spans="1:9" x14ac:dyDescent="0.25">
      <c r="A3" s="1"/>
      <c r="C3" s="1"/>
      <c r="E3" s="1"/>
      <c r="F3" s="2"/>
      <c r="G3" s="1"/>
      <c r="H3" s="2"/>
      <c r="I3" s="1"/>
    </row>
    <row r="4" spans="1:9" x14ac:dyDescent="0.25">
      <c r="A4" s="1" t="s">
        <v>154</v>
      </c>
      <c r="B4" s="5">
        <v>19107</v>
      </c>
      <c r="C4" s="1" t="s">
        <v>12</v>
      </c>
      <c r="D4">
        <v>17857</v>
      </c>
      <c r="E4" s="1" t="s">
        <v>10</v>
      </c>
      <c r="F4" s="2">
        <v>44138</v>
      </c>
      <c r="G4" s="1" t="s">
        <v>11</v>
      </c>
      <c r="H4" s="2">
        <v>44147</v>
      </c>
      <c r="I4" s="1" t="s">
        <v>109</v>
      </c>
    </row>
    <row r="5" spans="1:9" x14ac:dyDescent="0.25">
      <c r="A5" s="1" t="s">
        <v>148</v>
      </c>
      <c r="B5" s="5">
        <v>19108</v>
      </c>
      <c r="C5" s="1" t="s">
        <v>19</v>
      </c>
      <c r="D5">
        <v>17857</v>
      </c>
      <c r="E5" s="1" t="s">
        <v>10</v>
      </c>
      <c r="F5" s="2">
        <v>44130</v>
      </c>
      <c r="G5" s="1" t="s">
        <v>14</v>
      </c>
      <c r="H5" s="2">
        <v>44147</v>
      </c>
      <c r="I5" s="1" t="s">
        <v>109</v>
      </c>
    </row>
    <row r="6" spans="1:9" x14ac:dyDescent="0.25">
      <c r="A6" s="1" t="s">
        <v>145</v>
      </c>
      <c r="B6" s="5">
        <v>19109</v>
      </c>
      <c r="C6" s="1" t="s">
        <v>13</v>
      </c>
      <c r="D6">
        <v>17857</v>
      </c>
      <c r="E6" s="1" t="s">
        <v>10</v>
      </c>
      <c r="F6" s="2">
        <v>44130</v>
      </c>
      <c r="G6" s="1" t="s">
        <v>14</v>
      </c>
      <c r="H6" s="2">
        <v>44147</v>
      </c>
      <c r="I6" s="1" t="s">
        <v>109</v>
      </c>
    </row>
    <row r="7" spans="1:9" x14ac:dyDescent="0.25">
      <c r="A7" s="1" t="s">
        <v>144</v>
      </c>
      <c r="B7" s="5">
        <v>23852</v>
      </c>
      <c r="C7" s="1" t="s">
        <v>46</v>
      </c>
      <c r="D7">
        <v>17857</v>
      </c>
      <c r="E7" s="1" t="s">
        <v>10</v>
      </c>
      <c r="F7" s="2">
        <v>44127</v>
      </c>
      <c r="G7" s="1" t="s">
        <v>15</v>
      </c>
      <c r="H7" s="2">
        <v>44147</v>
      </c>
      <c r="I7" s="1" t="s">
        <v>109</v>
      </c>
    </row>
    <row r="8" spans="1:9" x14ac:dyDescent="0.25">
      <c r="A8" s="1" t="s">
        <v>127</v>
      </c>
      <c r="B8" s="5">
        <v>18380</v>
      </c>
      <c r="C8" s="1" t="s">
        <v>9</v>
      </c>
      <c r="D8">
        <v>17857</v>
      </c>
      <c r="E8" s="1" t="s">
        <v>10</v>
      </c>
      <c r="F8" s="2">
        <v>44104</v>
      </c>
      <c r="G8" s="1" t="s">
        <v>18</v>
      </c>
      <c r="H8" s="2">
        <v>44147</v>
      </c>
      <c r="I8" s="1" t="s">
        <v>109</v>
      </c>
    </row>
    <row r="9" spans="1:9" x14ac:dyDescent="0.25">
      <c r="A9" s="1" t="s">
        <v>157</v>
      </c>
      <c r="B9" s="5">
        <v>19128</v>
      </c>
      <c r="C9" s="1" t="s">
        <v>17</v>
      </c>
      <c r="D9">
        <v>17857</v>
      </c>
      <c r="E9" s="1" t="s">
        <v>10</v>
      </c>
      <c r="F9" s="2">
        <v>44139</v>
      </c>
      <c r="G9" s="1" t="s">
        <v>18</v>
      </c>
      <c r="H9" s="2">
        <v>44147</v>
      </c>
      <c r="I9" s="1" t="s">
        <v>109</v>
      </c>
    </row>
    <row r="10" spans="1:9" x14ac:dyDescent="0.25">
      <c r="A10" s="1" t="s">
        <v>153</v>
      </c>
      <c r="B10" s="5">
        <v>19109</v>
      </c>
      <c r="C10" s="1" t="s">
        <v>13</v>
      </c>
      <c r="D10">
        <v>17857</v>
      </c>
      <c r="E10" s="1" t="s">
        <v>10</v>
      </c>
      <c r="F10" s="2">
        <v>44137</v>
      </c>
      <c r="G10" s="1" t="s">
        <v>14</v>
      </c>
      <c r="H10" s="2">
        <v>44148</v>
      </c>
      <c r="I10" s="1" t="s">
        <v>15</v>
      </c>
    </row>
    <row r="11" spans="1:9" x14ac:dyDescent="0.25">
      <c r="A11" s="1" t="s">
        <v>155</v>
      </c>
      <c r="B11" s="5">
        <v>19109</v>
      </c>
      <c r="C11" s="1" t="s">
        <v>13</v>
      </c>
      <c r="D11">
        <v>17857</v>
      </c>
      <c r="E11" s="1" t="s">
        <v>10</v>
      </c>
      <c r="F11" s="2">
        <v>44138</v>
      </c>
      <c r="G11" s="1" t="s">
        <v>11</v>
      </c>
      <c r="H11" s="2">
        <v>44151</v>
      </c>
      <c r="I11" s="1" t="s">
        <v>14</v>
      </c>
    </row>
    <row r="12" spans="1:9" x14ac:dyDescent="0.25">
      <c r="A12" s="1" t="s">
        <v>156</v>
      </c>
      <c r="B12" s="5">
        <v>19108</v>
      </c>
      <c r="C12" s="1" t="s">
        <v>19</v>
      </c>
      <c r="D12">
        <v>17857</v>
      </c>
      <c r="E12" s="1" t="s">
        <v>10</v>
      </c>
      <c r="F12" s="2">
        <v>44138</v>
      </c>
      <c r="G12" s="1" t="s">
        <v>11</v>
      </c>
      <c r="H12" s="2">
        <v>44151</v>
      </c>
      <c r="I12" s="1" t="s">
        <v>14</v>
      </c>
    </row>
    <row r="13" spans="1:9" x14ac:dyDescent="0.25">
      <c r="A13" s="1" t="s">
        <v>159</v>
      </c>
      <c r="B13" s="5">
        <v>19107</v>
      </c>
      <c r="C13" s="1" t="s">
        <v>12</v>
      </c>
      <c r="D13">
        <v>17857</v>
      </c>
      <c r="E13" s="1" t="s">
        <v>10</v>
      </c>
      <c r="F13" s="2">
        <v>44145</v>
      </c>
      <c r="G13" s="1" t="s">
        <v>11</v>
      </c>
      <c r="H13" s="2">
        <v>44152</v>
      </c>
      <c r="I13" s="1" t="s">
        <v>11</v>
      </c>
    </row>
    <row r="14" spans="1:9" x14ac:dyDescent="0.25">
      <c r="A14" s="1" t="s">
        <v>160</v>
      </c>
      <c r="B14" s="5">
        <v>19110</v>
      </c>
      <c r="C14" s="1" t="s">
        <v>21</v>
      </c>
      <c r="D14">
        <v>17857</v>
      </c>
      <c r="E14" s="1" t="s">
        <v>10</v>
      </c>
      <c r="F14" s="2">
        <v>44145</v>
      </c>
      <c r="G14" s="1" t="s">
        <v>11</v>
      </c>
      <c r="H14" s="2">
        <v>44152</v>
      </c>
      <c r="I14" s="1" t="s">
        <v>11</v>
      </c>
    </row>
    <row r="15" spans="1:9" x14ac:dyDescent="0.25">
      <c r="A15" s="1" t="s">
        <v>158</v>
      </c>
      <c r="B15" s="5">
        <v>19109</v>
      </c>
      <c r="C15" s="1" t="s">
        <v>13</v>
      </c>
      <c r="D15">
        <v>17857</v>
      </c>
      <c r="E15" s="1" t="s">
        <v>10</v>
      </c>
      <c r="F15" s="2">
        <v>44144</v>
      </c>
      <c r="G15" s="1" t="s">
        <v>14</v>
      </c>
      <c r="H15" s="2">
        <v>44155</v>
      </c>
      <c r="I15" s="1" t="s">
        <v>15</v>
      </c>
    </row>
    <row r="16" spans="1:9" x14ac:dyDescent="0.25">
      <c r="A16" s="1" t="s">
        <v>161</v>
      </c>
      <c r="B16" s="5">
        <v>19108</v>
      </c>
      <c r="C16" s="1" t="s">
        <v>19</v>
      </c>
      <c r="D16">
        <v>17857</v>
      </c>
      <c r="E16" s="1" t="s">
        <v>10</v>
      </c>
      <c r="F16" s="2">
        <v>44144</v>
      </c>
      <c r="G16" s="1" t="s">
        <v>14</v>
      </c>
      <c r="H16" s="2">
        <v>44155</v>
      </c>
      <c r="I16" s="1" t="s">
        <v>15</v>
      </c>
    </row>
    <row r="17" spans="1:9" x14ac:dyDescent="0.25">
      <c r="A17" s="1" t="s">
        <v>110</v>
      </c>
      <c r="B17" s="5">
        <v>18380</v>
      </c>
      <c r="C17" s="1" t="s">
        <v>9</v>
      </c>
      <c r="D17">
        <v>17857</v>
      </c>
      <c r="E17" s="1" t="s">
        <v>10</v>
      </c>
      <c r="F17" s="2">
        <v>44085</v>
      </c>
      <c r="G17" s="1" t="s">
        <v>15</v>
      </c>
      <c r="H17" s="2">
        <v>44165</v>
      </c>
      <c r="I17" s="1" t="s">
        <v>14</v>
      </c>
    </row>
    <row r="18" spans="1:9" x14ac:dyDescent="0.25">
      <c r="A18" s="1" t="s">
        <v>149</v>
      </c>
      <c r="B18" s="5">
        <v>18380</v>
      </c>
      <c r="C18" s="1" t="s">
        <v>9</v>
      </c>
      <c r="D18">
        <v>17857</v>
      </c>
      <c r="E18" s="1" t="s">
        <v>10</v>
      </c>
      <c r="F18" s="2">
        <v>44130</v>
      </c>
      <c r="G18" s="1" t="s">
        <v>14</v>
      </c>
      <c r="H18" s="2">
        <v>44165</v>
      </c>
      <c r="I18" s="1" t="s">
        <v>14</v>
      </c>
    </row>
    <row r="19" spans="1:9" x14ac:dyDescent="0.25">
      <c r="A19" s="1" t="s">
        <v>162</v>
      </c>
      <c r="B19" s="5">
        <v>18380</v>
      </c>
      <c r="C19" s="1" t="s">
        <v>9</v>
      </c>
      <c r="D19">
        <v>17857</v>
      </c>
      <c r="E19" s="1" t="s">
        <v>10</v>
      </c>
      <c r="F19" s="2">
        <v>44145</v>
      </c>
      <c r="G19" s="1" t="s">
        <v>11</v>
      </c>
      <c r="H19" s="2">
        <v>44165</v>
      </c>
      <c r="I19" s="1" t="s">
        <v>14</v>
      </c>
    </row>
    <row r="20" spans="1:9" x14ac:dyDescent="0.25">
      <c r="A20" s="1" t="s">
        <v>119</v>
      </c>
      <c r="B20" s="5">
        <v>18380</v>
      </c>
      <c r="C20" s="1" t="s">
        <v>9</v>
      </c>
      <c r="D20">
        <v>17857</v>
      </c>
      <c r="E20" s="1" t="s">
        <v>10</v>
      </c>
      <c r="F20" s="2">
        <v>44096</v>
      </c>
      <c r="G20" s="1" t="s">
        <v>11</v>
      </c>
      <c r="H20" s="2">
        <v>44181</v>
      </c>
      <c r="I20" s="1" t="s">
        <v>18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7F0A10-E1B4-4307-899D-BB9A11581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Inbound</vt:lpstr>
      <vt:lpstr>Open 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Geng</dc:creator>
  <cp:lastModifiedBy>Jay Geng</cp:lastModifiedBy>
  <dcterms:created xsi:type="dcterms:W3CDTF">2020-01-10T02:53:01Z</dcterms:created>
  <dcterms:modified xsi:type="dcterms:W3CDTF">2020-11-11T03:48:00Z</dcterms:modified>
</cp:coreProperties>
</file>